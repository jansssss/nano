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545" windowHeight="13035" tabRatio="868" firstSheet="13" activeTab="14"/>
  </bookViews>
  <sheets>
    <sheet name="표지" sheetId="1" r:id="rId1"/>
    <sheet name="목차" sheetId="2" r:id="rId2"/>
    <sheet name="사업운영계획(표지)" sheetId="3" r:id="rId3"/>
    <sheet name="1.사업운영계획(완료)" sheetId="4" r:id="rId4"/>
    <sheet name="예산총칙(표지)" sheetId="5" r:id="rId5"/>
    <sheet name="2.예산총칙(완료)" sheetId="6" r:id="rId6"/>
    <sheet name="예산총괄표(표지)" sheetId="7" r:id="rId7"/>
    <sheet name="3-1.예산총괄표(완료)" sheetId="8" r:id="rId8"/>
    <sheet name="3-2.사업예산총괄표(완료)" sheetId="9" r:id="rId9"/>
    <sheet name="3-3.자본예산총괄표(완료)" sheetId="10" r:id="rId10"/>
    <sheet name="3-4. 수입예산 성질별 총괄표(완료)" sheetId="11" r:id="rId11"/>
    <sheet name="3-5.지출예산 성질별총괄표(완료)" sheetId="12" r:id="rId12"/>
    <sheet name="수입예산 표지" sheetId="13" state="hidden" r:id="rId13"/>
    <sheet name="수입예산" sheetId="14" r:id="rId14"/>
    <sheet name="지출예산" sheetId="16" r:id="rId15"/>
    <sheet name="지출예산 표지" sheetId="15" state="hidden" r:id="rId16"/>
    <sheet name="자금운영계획(표지)" sheetId="17" state="hidden" r:id="rId17"/>
    <sheet name="6.자금운영계획(완료)" sheetId="18" state="hidden" r:id="rId18"/>
    <sheet name="7.별첨자료(표지)" sheetId="19" state="hidden" r:id="rId19"/>
    <sheet name="별첨7-1. 임직원 인건비(완료)" sheetId="20" state="hidden" r:id="rId20"/>
    <sheet name="별첨7-2.계속비설명서(완료)" sheetId="21" state="hidden" r:id="rId21"/>
    <sheet name="별첨7-3.예산이월총괄표(완료)" sheetId="22" state="hidden" r:id="rId22"/>
    <sheet name="별첨7-4.예산이월설명서(완료)" sheetId="23" state="hidden" r:id="rId23"/>
    <sheet name="별첨7-5.중요자산취득설명서(완료)" sheetId="24" state="hidden" r:id="rId24"/>
  </sheets>
  <externalReferences>
    <externalReference r:id="rId25"/>
  </externalReferences>
  <definedNames>
    <definedName name="_xlnm._FilterDatabase" localSheetId="11" hidden="1">'3-5.지출예산 성질별총괄표(완료)'!$B$6:$K$77</definedName>
    <definedName name="_xlnm._FilterDatabase" localSheetId="13" hidden="1">수입예산!$A$4:$T$4</definedName>
    <definedName name="_xlnm._FilterDatabase" localSheetId="14" hidden="1">지출예산!$B$3:$AC$340</definedName>
    <definedName name="_xlnm.Consolidate_Area" localSheetId="3">'1.사업운영계획(완료)'!$C$1:$AS$47</definedName>
    <definedName name="_xlnm.Consolidate_Area" localSheetId="8">'3-2.사업예산총괄표(완료)'!$B$1:$G$30</definedName>
    <definedName name="_xlnm.Consolidate_Area" localSheetId="11">'3-5.지출예산 성질별총괄표(완료)'!$B:$K,'3-5.지출예산 성질별총괄표(완료)'!$3:$4</definedName>
    <definedName name="_xlnm.Consolidate_Area" localSheetId="17">'6.자금운영계획(완료)'!$A$1:$L$68</definedName>
    <definedName name="_xlnm.Consolidate_Area" localSheetId="19">'별첨7-1. 임직원 인건비(완료)'!$B$1:$G$7</definedName>
    <definedName name="_xlnm.Consolidate_Area" localSheetId="13">수입예산!$2:$4</definedName>
    <definedName name="_xlnm.Consolidate_Area" localSheetId="14">지출예산!$2:$4</definedName>
    <definedName name="_xlnm.Print_Area" localSheetId="3">'1.사업운영계획(완료)'!$A$1:$AS$37</definedName>
    <definedName name="_xlnm.Print_Area" localSheetId="5">'2.예산총칙(완료)'!$B$1:$L$31</definedName>
    <definedName name="_xlnm.Print_Area" localSheetId="7">'3-1.예산총괄표(완료)'!$B$1:$G$31</definedName>
    <definedName name="_xlnm.Print_Area" localSheetId="8">'3-2.사업예산총괄표(완료)'!$B$1:$G$30</definedName>
    <definedName name="_xlnm.Print_Area" localSheetId="9">'3-3.자본예산총괄표(완료)'!$B$1:$G$31</definedName>
    <definedName name="_xlnm.Print_Area" localSheetId="10">'3-4. 수입예산 성질별 총괄표(완료)'!$B$2:$K$52</definedName>
    <definedName name="_xlnm.Print_Area" localSheetId="11">'3-5.지출예산 성질별총괄표(완료)'!$B$1:$K$77</definedName>
    <definedName name="_xlnm.Print_Area" localSheetId="17">'6.자금운영계획(완료)'!$A$1:$L$68</definedName>
    <definedName name="_xlnm.Print_Area" localSheetId="18">'7.별첨자료(표지)'!$A$1:$S$35</definedName>
    <definedName name="_xlnm.Print_Area" localSheetId="1">목차!$A$1:$M$23</definedName>
    <definedName name="_xlnm.Print_Area" localSheetId="19">'별첨7-1. 임직원 인건비(완료)'!$A$1:$G$24</definedName>
    <definedName name="_xlnm.Print_Area" localSheetId="20">'별첨7-2.계속비설명서(완료)'!$A$1:$P$38</definedName>
    <definedName name="_xlnm.Print_Area" localSheetId="21">'별첨7-3.예산이월총괄표(완료)'!$A$1:$K$22</definedName>
    <definedName name="_xlnm.Print_Area" localSheetId="22">'별첨7-4.예산이월설명서(완료)'!$A$1:$H$15</definedName>
    <definedName name="_xlnm.Print_Area" localSheetId="2">'사업운영계획(표지)'!$A$1:$S$35</definedName>
    <definedName name="_xlnm.Print_Area" localSheetId="13">수입예산!$B$1:$T$121</definedName>
    <definedName name="_xlnm.Print_Area" localSheetId="12">'수입예산 표지'!$A$1:$S$35</definedName>
    <definedName name="_xlnm.Print_Area" localSheetId="6">'예산총괄표(표지)'!$A$1:$S$35</definedName>
    <definedName name="_xlnm.Print_Area" localSheetId="4">'예산총칙(표지)'!$A$1:$S$35</definedName>
    <definedName name="_xlnm.Print_Area" localSheetId="16">'자금운영계획(표지)'!$A$1:$S$35</definedName>
    <definedName name="_xlnm.Print_Area" localSheetId="14">지출예산!$B$1:$X$340</definedName>
    <definedName name="_xlnm.Print_Area" localSheetId="15">'지출예산 표지'!$A$1:$S$35</definedName>
    <definedName name="_xlnm.Print_Area" localSheetId="0">표지!$A$1:$O$25</definedName>
    <definedName name="_xlnm.Print_Titles" localSheetId="10">'3-4. 수입예산 성질별 총괄표(완료)'!$3:$4</definedName>
    <definedName name="_xlnm.Print_Titles" localSheetId="11">'3-5.지출예산 성질별총괄표(완료)'!$3:$4</definedName>
    <definedName name="_xlnm.Print_Titles" localSheetId="13">수입예산!$2:$4</definedName>
    <definedName name="_xlnm.Print_Titles" localSheetId="14">지출예산!$2:$4</definedName>
  </definedNames>
  <calcPr calcId="162913"/>
</workbook>
</file>

<file path=xl/calcChain.xml><?xml version="1.0" encoding="utf-8"?>
<calcChain xmlns="http://schemas.openxmlformats.org/spreadsheetml/2006/main">
  <c r="G6" i="24" l="1"/>
  <c r="F6" i="24"/>
  <c r="G4" i="23"/>
  <c r="E4" i="23"/>
  <c r="C4" i="23"/>
  <c r="G12" i="22"/>
  <c r="E12" i="22"/>
  <c r="C12" i="22" s="1"/>
  <c r="B12" i="22"/>
  <c r="G11" i="22"/>
  <c r="C11" i="22" s="1"/>
  <c r="B11" i="22"/>
  <c r="I10" i="22"/>
  <c r="G10" i="22"/>
  <c r="C10" i="22" s="1"/>
  <c r="B10" i="22"/>
  <c r="I9" i="22"/>
  <c r="G9" i="22"/>
  <c r="B9" i="22"/>
  <c r="I8" i="22"/>
  <c r="G8" i="22"/>
  <c r="E8" i="22"/>
  <c r="C8" i="22" s="1"/>
  <c r="B8" i="22"/>
  <c r="I7" i="22"/>
  <c r="I5" i="22" s="1"/>
  <c r="G7" i="22"/>
  <c r="C7" i="22" s="1"/>
  <c r="B7" i="22"/>
  <c r="B5" i="22" s="1"/>
  <c r="G6" i="22"/>
  <c r="G5" i="22" s="1"/>
  <c r="E6" i="22"/>
  <c r="E5" i="22" s="1"/>
  <c r="B6" i="22"/>
  <c r="J5" i="22"/>
  <c r="H5" i="22"/>
  <c r="F5" i="22"/>
  <c r="D5" i="22"/>
  <c r="E7" i="20"/>
  <c r="F7" i="20" s="1"/>
  <c r="G6" i="20"/>
  <c r="F6" i="20"/>
  <c r="G5" i="20"/>
  <c r="D5" i="20"/>
  <c r="D7" i="20" s="1"/>
  <c r="C5" i="20"/>
  <c r="F67" i="18"/>
  <c r="D67" i="18"/>
  <c r="D66" i="18"/>
  <c r="F66" i="18" s="1"/>
  <c r="D65" i="18"/>
  <c r="F65" i="18" s="1"/>
  <c r="L63" i="18"/>
  <c r="L60" i="18"/>
  <c r="K57" i="18"/>
  <c r="J57" i="18"/>
  <c r="L57" i="18" s="1"/>
  <c r="K56" i="18"/>
  <c r="K55" i="18" s="1"/>
  <c r="J56" i="18"/>
  <c r="K54" i="18"/>
  <c r="K53" i="18"/>
  <c r="E46" i="18"/>
  <c r="K44" i="18"/>
  <c r="K43" i="18"/>
  <c r="K42" i="18" s="1"/>
  <c r="L28" i="18"/>
  <c r="K27" i="18"/>
  <c r="K62" i="18" s="1"/>
  <c r="K59" i="18" s="1"/>
  <c r="J27" i="18"/>
  <c r="L27" i="18" s="1"/>
  <c r="F19" i="18"/>
  <c r="H338" i="16"/>
  <c r="J338" i="16" s="1"/>
  <c r="J337" i="16" s="1"/>
  <c r="I337" i="16"/>
  <c r="I336" i="16" s="1"/>
  <c r="I335" i="16" s="1"/>
  <c r="I334" i="16" s="1"/>
  <c r="H337" i="16"/>
  <c r="H336" i="16" s="1"/>
  <c r="H335" i="16" s="1"/>
  <c r="J336" i="16"/>
  <c r="H333" i="16"/>
  <c r="J333" i="16" s="1"/>
  <c r="I332" i="16"/>
  <c r="H331" i="16"/>
  <c r="H330" i="16" s="1"/>
  <c r="I330" i="16"/>
  <c r="V329" i="16"/>
  <c r="V328" i="16"/>
  <c r="V327" i="16"/>
  <c r="I324" i="16"/>
  <c r="V323" i="16"/>
  <c r="V322" i="16"/>
  <c r="W321" i="16"/>
  <c r="W320" i="16" s="1"/>
  <c r="H320" i="16" s="1"/>
  <c r="I319" i="16"/>
  <c r="V318" i="16"/>
  <c r="W317" i="16" s="1"/>
  <c r="H317" i="16" s="1"/>
  <c r="I316" i="16"/>
  <c r="V315" i="16"/>
  <c r="V314" i="16"/>
  <c r="W313" i="16" s="1"/>
  <c r="W312" i="16" s="1"/>
  <c r="H312" i="16" s="1"/>
  <c r="J312" i="16" s="1"/>
  <c r="V311" i="16"/>
  <c r="W310" i="16" s="1"/>
  <c r="W309" i="16" s="1"/>
  <c r="H309" i="16" s="1"/>
  <c r="J309" i="16" s="1"/>
  <c r="V308" i="16"/>
  <c r="V307" i="16"/>
  <c r="W306" i="16" s="1"/>
  <c r="W305" i="16" s="1"/>
  <c r="H305" i="16" s="1"/>
  <c r="J305" i="16"/>
  <c r="I304" i="16"/>
  <c r="J299" i="16"/>
  <c r="H297" i="16"/>
  <c r="J297" i="16" s="1"/>
  <c r="J296" i="16" s="1"/>
  <c r="J295" i="16" s="1"/>
  <c r="I296" i="16"/>
  <c r="I295" i="16" s="1"/>
  <c r="H293" i="16"/>
  <c r="J293" i="16" s="1"/>
  <c r="I292" i="16"/>
  <c r="I291" i="16" s="1"/>
  <c r="H288" i="16"/>
  <c r="H287" i="16" s="1"/>
  <c r="J287" i="16" s="1"/>
  <c r="I287" i="16"/>
  <c r="H286" i="16"/>
  <c r="H285" i="16" s="1"/>
  <c r="I285" i="16"/>
  <c r="V284" i="16"/>
  <c r="V283" i="16"/>
  <c r="V282" i="16"/>
  <c r="I279" i="16"/>
  <c r="V278" i="16"/>
  <c r="V277" i="16"/>
  <c r="W276" i="16" s="1"/>
  <c r="W275" i="16" s="1"/>
  <c r="H275" i="16" s="1"/>
  <c r="I274" i="16"/>
  <c r="V273" i="16"/>
  <c r="W272" i="16" s="1"/>
  <c r="W271" i="16" s="1"/>
  <c r="H271" i="16" s="1"/>
  <c r="H270" i="16" s="1"/>
  <c r="J270" i="16" s="1"/>
  <c r="I270" i="16"/>
  <c r="J269" i="16"/>
  <c r="H269" i="16"/>
  <c r="I268" i="16"/>
  <c r="H268" i="16"/>
  <c r="J268" i="16" s="1"/>
  <c r="V267" i="16"/>
  <c r="W265" i="16" s="1"/>
  <c r="W264" i="16" s="1"/>
  <c r="H264" i="16" s="1"/>
  <c r="J264" i="16" s="1"/>
  <c r="V266" i="16"/>
  <c r="H263" i="16"/>
  <c r="J263" i="16" s="1"/>
  <c r="H262" i="16"/>
  <c r="J262" i="16" s="1"/>
  <c r="V261" i="16"/>
  <c r="W260" i="16"/>
  <c r="W259" i="16" s="1"/>
  <c r="H259" i="16"/>
  <c r="I258" i="16"/>
  <c r="H253" i="16"/>
  <c r="H252" i="16" s="1"/>
  <c r="I252" i="16"/>
  <c r="I251" i="16" s="1"/>
  <c r="I250" i="16" s="1"/>
  <c r="I249" i="16" s="1"/>
  <c r="H248" i="16"/>
  <c r="J248" i="16" s="1"/>
  <c r="I247" i="16"/>
  <c r="H247" i="16"/>
  <c r="J247" i="16" s="1"/>
  <c r="I246" i="16"/>
  <c r="V245" i="16"/>
  <c r="W244" i="16" s="1"/>
  <c r="W243" i="16" s="1"/>
  <c r="H243" i="16" s="1"/>
  <c r="I242" i="16"/>
  <c r="I241" i="16"/>
  <c r="V239" i="16"/>
  <c r="V238" i="16"/>
  <c r="I235" i="16"/>
  <c r="I234" i="16" s="1"/>
  <c r="H233" i="16"/>
  <c r="H232" i="16" s="1"/>
  <c r="H231" i="16" s="1"/>
  <c r="I232" i="16"/>
  <c r="I231" i="16"/>
  <c r="H230" i="16"/>
  <c r="J230" i="16" s="1"/>
  <c r="H229" i="16"/>
  <c r="J229" i="16" s="1"/>
  <c r="I228" i="16"/>
  <c r="I227" i="16" s="1"/>
  <c r="H224" i="16"/>
  <c r="J224" i="16" s="1"/>
  <c r="H223" i="16"/>
  <c r="J223" i="16" s="1"/>
  <c r="I222" i="16"/>
  <c r="H222" i="16"/>
  <c r="J222" i="16" s="1"/>
  <c r="I221" i="16"/>
  <c r="I220" i="16" s="1"/>
  <c r="H219" i="16"/>
  <c r="H218" i="16" s="1"/>
  <c r="I218" i="16"/>
  <c r="H217" i="16"/>
  <c r="J217" i="16" s="1"/>
  <c r="J216" i="16" s="1"/>
  <c r="I216" i="16"/>
  <c r="V215" i="16"/>
  <c r="V214" i="16"/>
  <c r="V213" i="16"/>
  <c r="I210" i="16"/>
  <c r="H209" i="16"/>
  <c r="J209" i="16" s="1"/>
  <c r="J208" i="16" s="1"/>
  <c r="I208" i="16"/>
  <c r="H208" i="16"/>
  <c r="H207" i="16"/>
  <c r="J207" i="16" s="1"/>
  <c r="H206" i="16"/>
  <c r="J206" i="16" s="1"/>
  <c r="I205" i="16"/>
  <c r="H205" i="16"/>
  <c r="V204" i="16"/>
  <c r="V203" i="16"/>
  <c r="V202" i="16"/>
  <c r="W201" i="16" s="1"/>
  <c r="W200" i="16" s="1"/>
  <c r="H200" i="16" s="1"/>
  <c r="I199" i="16"/>
  <c r="V198" i="16"/>
  <c r="V197" i="16"/>
  <c r="V196" i="16"/>
  <c r="V195" i="16"/>
  <c r="V194" i="16"/>
  <c r="V193" i="16"/>
  <c r="I190" i="16"/>
  <c r="V189" i="16"/>
  <c r="V188" i="16"/>
  <c r="I185" i="16"/>
  <c r="V184" i="16"/>
  <c r="W183" i="16" s="1"/>
  <c r="W182" i="16" s="1"/>
  <c r="H182" i="16" s="1"/>
  <c r="J182" i="16" s="1"/>
  <c r="H181" i="16"/>
  <c r="J181" i="16" s="1"/>
  <c r="I180" i="16"/>
  <c r="H179" i="16"/>
  <c r="J179" i="16" s="1"/>
  <c r="I178" i="16"/>
  <c r="H177" i="16"/>
  <c r="J177" i="16" s="1"/>
  <c r="H176" i="16"/>
  <c r="J176" i="16" s="1"/>
  <c r="I175" i="16"/>
  <c r="H174" i="16"/>
  <c r="H173" i="16" s="1"/>
  <c r="I173" i="16"/>
  <c r="H172" i="16"/>
  <c r="J172" i="16" s="1"/>
  <c r="V171" i="16"/>
  <c r="W168" i="16" s="1"/>
  <c r="W167" i="16" s="1"/>
  <c r="H167" i="16" s="1"/>
  <c r="V170" i="16"/>
  <c r="V169" i="16"/>
  <c r="I166" i="16"/>
  <c r="J165" i="16"/>
  <c r="H165" i="16"/>
  <c r="V164" i="16"/>
  <c r="V163" i="16"/>
  <c r="W162" i="16" s="1"/>
  <c r="W161" i="16" s="1"/>
  <c r="H161" i="16" s="1"/>
  <c r="J161" i="16" s="1"/>
  <c r="V160" i="16"/>
  <c r="W159" i="16" s="1"/>
  <c r="H159" i="16" s="1"/>
  <c r="J159" i="16" s="1"/>
  <c r="V158" i="16"/>
  <c r="W157" i="16" s="1"/>
  <c r="H157" i="16" s="1"/>
  <c r="J157" i="16" s="1"/>
  <c r="V156" i="16"/>
  <c r="V155" i="16"/>
  <c r="V154" i="16"/>
  <c r="V153" i="16"/>
  <c r="V150" i="16"/>
  <c r="V149" i="16"/>
  <c r="V148" i="16"/>
  <c r="V147" i="16"/>
  <c r="V146" i="16"/>
  <c r="V145" i="16"/>
  <c r="V144" i="16"/>
  <c r="V143" i="16"/>
  <c r="V142" i="16"/>
  <c r="V141" i="16"/>
  <c r="V140" i="16"/>
  <c r="V139" i="16"/>
  <c r="V138" i="16"/>
  <c r="V137" i="16"/>
  <c r="V136" i="16"/>
  <c r="V135" i="16"/>
  <c r="V134" i="16"/>
  <c r="V133" i="16"/>
  <c r="V132" i="16"/>
  <c r="V131" i="16"/>
  <c r="V130" i="16"/>
  <c r="V129" i="16"/>
  <c r="V128" i="16"/>
  <c r="V127" i="16"/>
  <c r="V126" i="16"/>
  <c r="V125" i="16"/>
  <c r="V124" i="16"/>
  <c r="V123" i="16"/>
  <c r="V122" i="16"/>
  <c r="V121" i="16"/>
  <c r="V120" i="16"/>
  <c r="V119" i="16"/>
  <c r="I116" i="16"/>
  <c r="J110" i="16"/>
  <c r="J109" i="16"/>
  <c r="J108" i="16"/>
  <c r="V107" i="16"/>
  <c r="W106" i="16" s="1"/>
  <c r="H106" i="16" s="1"/>
  <c r="J106" i="16" s="1"/>
  <c r="I105" i="16"/>
  <c r="J104" i="16"/>
  <c r="H104" i="16"/>
  <c r="I103" i="16"/>
  <c r="H103" i="16"/>
  <c r="J103" i="16" s="1"/>
  <c r="V102" i="16"/>
  <c r="V101" i="16"/>
  <c r="W100" i="16" s="1"/>
  <c r="H100" i="16" s="1"/>
  <c r="I99" i="16"/>
  <c r="V98" i="16"/>
  <c r="W97" i="16" s="1"/>
  <c r="H97" i="16" s="1"/>
  <c r="H96" i="16" s="1"/>
  <c r="J96" i="16" s="1"/>
  <c r="I96" i="16"/>
  <c r="H95" i="16"/>
  <c r="J95" i="16" s="1"/>
  <c r="H94" i="16"/>
  <c r="I93" i="16"/>
  <c r="W91" i="16"/>
  <c r="H91" i="16" s="1"/>
  <c r="J91" i="16" s="1"/>
  <c r="W89" i="16"/>
  <c r="H89" i="16" s="1"/>
  <c r="J89" i="16" s="1"/>
  <c r="I88" i="16"/>
  <c r="V83" i="16"/>
  <c r="W82" i="16" s="1"/>
  <c r="H82" i="16" s="1"/>
  <c r="I81" i="16"/>
  <c r="V80" i="16"/>
  <c r="W79" i="16" s="1"/>
  <c r="H79" i="16" s="1"/>
  <c r="I78" i="16"/>
  <c r="V77" i="16"/>
  <c r="V76" i="16"/>
  <c r="V75" i="16"/>
  <c r="W74" i="16" s="1"/>
  <c r="H74" i="16" s="1"/>
  <c r="I73" i="16"/>
  <c r="I54" i="16" s="1"/>
  <c r="I53" i="16" s="1"/>
  <c r="I52" i="16" s="1"/>
  <c r="I51" i="16" s="1"/>
  <c r="V72" i="16"/>
  <c r="W71" i="16" s="1"/>
  <c r="H71" i="16" s="1"/>
  <c r="I70" i="16"/>
  <c r="V69" i="16"/>
  <c r="W68" i="16" s="1"/>
  <c r="H68" i="16" s="1"/>
  <c r="J68" i="16" s="1"/>
  <c r="V67" i="16"/>
  <c r="V66" i="16"/>
  <c r="W65" i="16" s="1"/>
  <c r="H65" i="16" s="1"/>
  <c r="I64" i="16"/>
  <c r="W62" i="16"/>
  <c r="H62" i="16" s="1"/>
  <c r="J62" i="16" s="1"/>
  <c r="V59" i="16"/>
  <c r="V58" i="16"/>
  <c r="W56" i="16"/>
  <c r="H56" i="16" s="1"/>
  <c r="I55" i="16"/>
  <c r="V50" i="16"/>
  <c r="W49" i="16"/>
  <c r="H49" i="16" s="1"/>
  <c r="J49" i="16" s="1"/>
  <c r="J48" i="16" s="1"/>
  <c r="I48" i="16"/>
  <c r="V47" i="16"/>
  <c r="V46" i="16"/>
  <c r="V45" i="16"/>
  <c r="V44" i="16"/>
  <c r="V43" i="16"/>
  <c r="I41" i="16"/>
  <c r="V40" i="16"/>
  <c r="W39" i="16" s="1"/>
  <c r="H39" i="16" s="1"/>
  <c r="I38" i="16"/>
  <c r="I27" i="16" s="1"/>
  <c r="I26" i="16" s="1"/>
  <c r="I25" i="16" s="1"/>
  <c r="I24" i="16" s="1"/>
  <c r="V37" i="16"/>
  <c r="W36" i="16" s="1"/>
  <c r="H36" i="16" s="1"/>
  <c r="J36" i="16" s="1"/>
  <c r="V35" i="16"/>
  <c r="W34" i="16"/>
  <c r="H34" i="16" s="1"/>
  <c r="I33" i="16"/>
  <c r="V32" i="16"/>
  <c r="V31" i="16"/>
  <c r="V30" i="16"/>
  <c r="I28" i="16"/>
  <c r="V23" i="16"/>
  <c r="W22" i="16"/>
  <c r="H22" i="16" s="1"/>
  <c r="I21" i="16"/>
  <c r="I20" i="16" s="1"/>
  <c r="V19" i="16"/>
  <c r="W18" i="16" s="1"/>
  <c r="J18" i="16"/>
  <c r="J17" i="16"/>
  <c r="J16" i="16" s="1"/>
  <c r="J15" i="16" s="1"/>
  <c r="J14" i="16" s="1"/>
  <c r="I17" i="16"/>
  <c r="H17" i="16"/>
  <c r="H16" i="16" s="1"/>
  <c r="I16" i="16"/>
  <c r="I15" i="16" s="1"/>
  <c r="I14" i="16" s="1"/>
  <c r="I13" i="16" s="1"/>
  <c r="J10" i="16"/>
  <c r="I10" i="16"/>
  <c r="H10" i="16"/>
  <c r="J7" i="16"/>
  <c r="I7" i="16"/>
  <c r="H7" i="16"/>
  <c r="G119" i="14"/>
  <c r="I119" i="14" s="1"/>
  <c r="I118" i="14" s="1"/>
  <c r="I117" i="14" s="1"/>
  <c r="H118" i="14"/>
  <c r="H117" i="14" s="1"/>
  <c r="S114" i="14"/>
  <c r="S111" i="14"/>
  <c r="H109" i="14"/>
  <c r="G107" i="14"/>
  <c r="H106" i="14"/>
  <c r="H105" i="14"/>
  <c r="H104" i="14" s="1"/>
  <c r="G102" i="14"/>
  <c r="I102" i="14" s="1"/>
  <c r="I101" i="14" s="1"/>
  <c r="H101" i="14"/>
  <c r="G99" i="14"/>
  <c r="I99" i="14" s="1"/>
  <c r="I98" i="14" s="1"/>
  <c r="H98" i="14"/>
  <c r="H97" i="14" s="1"/>
  <c r="G95" i="14"/>
  <c r="H94" i="14"/>
  <c r="S92" i="14"/>
  <c r="S91" i="14" s="1"/>
  <c r="G91" i="14" s="1"/>
  <c r="F21" i="11" s="1"/>
  <c r="F18" i="11" s="1"/>
  <c r="H90" i="14"/>
  <c r="G88" i="14"/>
  <c r="I88" i="14" s="1"/>
  <c r="G86" i="14"/>
  <c r="I86" i="14" s="1"/>
  <c r="I85" i="14" s="1"/>
  <c r="H85" i="14"/>
  <c r="H8" i="14" s="1"/>
  <c r="H7" i="14" s="1"/>
  <c r="H6" i="14" s="1"/>
  <c r="H5" i="14" s="1"/>
  <c r="S80" i="14"/>
  <c r="S79" i="14" s="1"/>
  <c r="G79" i="14" s="1"/>
  <c r="I79" i="14" s="1"/>
  <c r="S76" i="14"/>
  <c r="S62" i="14"/>
  <c r="S49" i="14"/>
  <c r="S23" i="14"/>
  <c r="S22" i="14" s="1"/>
  <c r="G22" i="14" s="1"/>
  <c r="F12" i="11" s="1"/>
  <c r="H21" i="14"/>
  <c r="S19" i="14"/>
  <c r="S14" i="14"/>
  <c r="S11" i="14"/>
  <c r="H9" i="14"/>
  <c r="J77" i="12"/>
  <c r="K77" i="12" s="1"/>
  <c r="H76" i="12"/>
  <c r="F76" i="12"/>
  <c r="J76" i="12" s="1"/>
  <c r="K76" i="12" s="1"/>
  <c r="J74" i="12"/>
  <c r="J73" i="12"/>
  <c r="H73" i="12"/>
  <c r="F73" i="12"/>
  <c r="J72" i="12"/>
  <c r="H71" i="12"/>
  <c r="F71" i="12"/>
  <c r="J70" i="12"/>
  <c r="K70" i="12" s="1"/>
  <c r="H69" i="12"/>
  <c r="H68" i="12" s="1"/>
  <c r="AJ30" i="4" s="1"/>
  <c r="F69" i="12"/>
  <c r="J69" i="12" s="1"/>
  <c r="K69" i="12" s="1"/>
  <c r="J67" i="12"/>
  <c r="K67" i="12" s="1"/>
  <c r="H66" i="12"/>
  <c r="F66" i="12"/>
  <c r="J66" i="12" s="1"/>
  <c r="K66" i="12" s="1"/>
  <c r="J65" i="12"/>
  <c r="K65" i="12" s="1"/>
  <c r="J64" i="12"/>
  <c r="K64" i="12" s="1"/>
  <c r="J63" i="12"/>
  <c r="K63" i="12" s="1"/>
  <c r="J62" i="12"/>
  <c r="K62" i="12" s="1"/>
  <c r="H61" i="12"/>
  <c r="E63" i="18" s="1"/>
  <c r="E61" i="18" s="1"/>
  <c r="F61" i="12"/>
  <c r="J58" i="12"/>
  <c r="K58" i="12" s="1"/>
  <c r="J57" i="12"/>
  <c r="K57" i="12" s="1"/>
  <c r="J56" i="12"/>
  <c r="K56" i="12" s="1"/>
  <c r="H55" i="12"/>
  <c r="F55" i="12"/>
  <c r="J55" i="12" s="1"/>
  <c r="K55" i="12" s="1"/>
  <c r="J54" i="12"/>
  <c r="J53" i="12"/>
  <c r="H52" i="12"/>
  <c r="E51" i="18" s="1"/>
  <c r="E50" i="18" s="1"/>
  <c r="F52" i="12"/>
  <c r="J52" i="12" s="1"/>
  <c r="K52" i="12" s="1"/>
  <c r="J51" i="12"/>
  <c r="K51" i="12" s="1"/>
  <c r="J50" i="12"/>
  <c r="K50" i="12" s="1"/>
  <c r="H49" i="12"/>
  <c r="E48" i="18" s="1"/>
  <c r="F49" i="12"/>
  <c r="J49" i="12" s="1"/>
  <c r="K49" i="12" s="1"/>
  <c r="J48" i="12"/>
  <c r="K48" i="12" s="1"/>
  <c r="H47" i="12"/>
  <c r="F47" i="12"/>
  <c r="J46" i="12"/>
  <c r="K46" i="12" s="1"/>
  <c r="J45" i="12"/>
  <c r="K45" i="12" s="1"/>
  <c r="H45" i="12"/>
  <c r="E47" i="18" s="1"/>
  <c r="F45" i="12"/>
  <c r="G9" i="9" s="1"/>
  <c r="D47" i="18" s="1"/>
  <c r="J44" i="12"/>
  <c r="K44" i="12" s="1"/>
  <c r="J43" i="12"/>
  <c r="H42" i="12"/>
  <c r="F42" i="12"/>
  <c r="J42" i="12" s="1"/>
  <c r="J41" i="12"/>
  <c r="K41" i="12" s="1"/>
  <c r="J40" i="12"/>
  <c r="K40" i="12" s="1"/>
  <c r="J39" i="12"/>
  <c r="K39" i="12" s="1"/>
  <c r="J38" i="12"/>
  <c r="K38" i="12" s="1"/>
  <c r="H37" i="12"/>
  <c r="AJ18" i="4" s="1"/>
  <c r="AS18" i="4" s="1"/>
  <c r="F37" i="12"/>
  <c r="J36" i="12"/>
  <c r="K36" i="12" s="1"/>
  <c r="J35" i="12"/>
  <c r="K35" i="12" s="1"/>
  <c r="J34" i="12"/>
  <c r="K34" i="12" s="1"/>
  <c r="H34" i="12"/>
  <c r="F34" i="12"/>
  <c r="J33" i="12"/>
  <c r="K33" i="12" s="1"/>
  <c r="J32" i="12"/>
  <c r="K32" i="12" s="1"/>
  <c r="J31" i="12"/>
  <c r="K31" i="12" s="1"/>
  <c r="J30" i="12"/>
  <c r="K30" i="12" s="1"/>
  <c r="H29" i="12"/>
  <c r="AJ14" i="4" s="1"/>
  <c r="F29" i="12"/>
  <c r="AA14" i="4" s="1"/>
  <c r="J28" i="12"/>
  <c r="K28" i="12" s="1"/>
  <c r="H27" i="12"/>
  <c r="F27" i="12"/>
  <c r="AA13" i="4" s="1"/>
  <c r="AS13" i="4" s="1"/>
  <c r="J26" i="12"/>
  <c r="K26" i="12" s="1"/>
  <c r="J25" i="12"/>
  <c r="K25" i="12" s="1"/>
  <c r="H24" i="12"/>
  <c r="F24" i="12"/>
  <c r="J23" i="12"/>
  <c r="K23" i="12" s="1"/>
  <c r="H22" i="12"/>
  <c r="AJ11" i="4" s="1"/>
  <c r="F22" i="12"/>
  <c r="J21" i="12"/>
  <c r="K21" i="12" s="1"/>
  <c r="J20" i="12"/>
  <c r="K20" i="12" s="1"/>
  <c r="H19" i="12"/>
  <c r="F19" i="12"/>
  <c r="J19" i="12" s="1"/>
  <c r="K19" i="12" s="1"/>
  <c r="J18" i="12"/>
  <c r="K18" i="12" s="1"/>
  <c r="J17" i="12"/>
  <c r="K17" i="12" s="1"/>
  <c r="J16" i="12"/>
  <c r="K16" i="12" s="1"/>
  <c r="J15" i="12"/>
  <c r="K15" i="12" s="1"/>
  <c r="J14" i="12"/>
  <c r="K14" i="12" s="1"/>
  <c r="J13" i="12"/>
  <c r="K13" i="12" s="1"/>
  <c r="H12" i="12"/>
  <c r="AJ9" i="4" s="1"/>
  <c r="F12" i="12"/>
  <c r="J11" i="12"/>
  <c r="K11" i="12" s="1"/>
  <c r="J10" i="12"/>
  <c r="K10" i="12" s="1"/>
  <c r="J9" i="12"/>
  <c r="K9" i="12" s="1"/>
  <c r="H8" i="12"/>
  <c r="F8" i="12"/>
  <c r="G6" i="9" s="1"/>
  <c r="D44" i="18" s="1"/>
  <c r="H52" i="11"/>
  <c r="N28" i="4" s="1"/>
  <c r="H49" i="11"/>
  <c r="H48" i="11" s="1"/>
  <c r="H47" i="11"/>
  <c r="H45" i="11" s="1"/>
  <c r="F47" i="11"/>
  <c r="F45" i="11" s="1"/>
  <c r="J46" i="11"/>
  <c r="K46" i="11" s="1"/>
  <c r="J43" i="11"/>
  <c r="K43" i="11" s="1"/>
  <c r="J42" i="11"/>
  <c r="K42" i="11" s="1"/>
  <c r="K41" i="11"/>
  <c r="J41" i="11"/>
  <c r="J40" i="11"/>
  <c r="K40" i="11" s="1"/>
  <c r="H39" i="11"/>
  <c r="F39" i="11"/>
  <c r="J39" i="11" s="1"/>
  <c r="K39" i="11" s="1"/>
  <c r="J38" i="11"/>
  <c r="K38" i="11" s="1"/>
  <c r="J37" i="11"/>
  <c r="K37" i="11" s="1"/>
  <c r="J36" i="11"/>
  <c r="K36" i="11" s="1"/>
  <c r="J35" i="11"/>
  <c r="K35" i="11" s="1"/>
  <c r="H34" i="11"/>
  <c r="F34" i="11"/>
  <c r="H31" i="11"/>
  <c r="H30" i="11"/>
  <c r="E20" i="18" s="1"/>
  <c r="H29" i="11"/>
  <c r="F29" i="11"/>
  <c r="J29" i="11" s="1"/>
  <c r="K29" i="11" s="1"/>
  <c r="H28" i="11"/>
  <c r="E18" i="18" s="1"/>
  <c r="H26" i="11"/>
  <c r="H25" i="11" s="1"/>
  <c r="E13" i="18" s="1"/>
  <c r="F26" i="11"/>
  <c r="F25" i="11" s="1"/>
  <c r="K24" i="11"/>
  <c r="J24" i="11"/>
  <c r="H23" i="11"/>
  <c r="F23" i="11"/>
  <c r="J23" i="11" s="1"/>
  <c r="K23" i="11" s="1"/>
  <c r="J22" i="11"/>
  <c r="K22" i="11" s="1"/>
  <c r="H21" i="11"/>
  <c r="K20" i="11"/>
  <c r="J20" i="11"/>
  <c r="J19" i="11"/>
  <c r="K19" i="11" s="1"/>
  <c r="H18" i="11"/>
  <c r="E12" i="18" s="1"/>
  <c r="H17" i="11"/>
  <c r="F17" i="11"/>
  <c r="H16" i="11"/>
  <c r="H14" i="11" s="1"/>
  <c r="E11" i="18" s="1"/>
  <c r="F16" i="11"/>
  <c r="J16" i="11" s="1"/>
  <c r="K16" i="11" s="1"/>
  <c r="J15" i="11"/>
  <c r="K15" i="11" s="1"/>
  <c r="H13" i="11"/>
  <c r="N11" i="4" s="1"/>
  <c r="H12" i="11"/>
  <c r="J10" i="11"/>
  <c r="K10" i="11" s="1"/>
  <c r="H9" i="11"/>
  <c r="H8" i="11" s="1"/>
  <c r="G28" i="10"/>
  <c r="G27" i="10" s="1"/>
  <c r="E29" i="8" s="1"/>
  <c r="G29" i="8" s="1"/>
  <c r="G25" i="10"/>
  <c r="J54" i="18" s="1"/>
  <c r="G24" i="10"/>
  <c r="E27" i="8" s="1"/>
  <c r="D24" i="10"/>
  <c r="E13" i="8" s="1"/>
  <c r="G13" i="8" s="1"/>
  <c r="G22" i="10"/>
  <c r="D22" i="10"/>
  <c r="G16" i="10"/>
  <c r="J44" i="18" s="1"/>
  <c r="L44" i="18" s="1"/>
  <c r="G15" i="10"/>
  <c r="J43" i="18" s="1"/>
  <c r="D14" i="10"/>
  <c r="G9" i="10"/>
  <c r="D63" i="18" s="1"/>
  <c r="G7" i="10"/>
  <c r="E25" i="8" s="1"/>
  <c r="D7" i="10"/>
  <c r="G5" i="10"/>
  <c r="D5" i="10"/>
  <c r="G28" i="9"/>
  <c r="G27" i="9"/>
  <c r="C30" i="8" s="1"/>
  <c r="G25" i="9"/>
  <c r="C20" i="8" s="1"/>
  <c r="G20" i="8" s="1"/>
  <c r="G21" i="9"/>
  <c r="C19" i="8" s="1"/>
  <c r="G19" i="8" s="1"/>
  <c r="D21" i="9"/>
  <c r="C7" i="8" s="1"/>
  <c r="G7" i="8" s="1"/>
  <c r="G8" i="9"/>
  <c r="D46" i="18" s="1"/>
  <c r="F46" i="18" s="1"/>
  <c r="E30" i="8"/>
  <c r="G30" i="8" s="1"/>
  <c r="E28" i="8"/>
  <c r="G28" i="8" s="1"/>
  <c r="E24" i="8"/>
  <c r="G24" i="8" s="1"/>
  <c r="E11" i="8"/>
  <c r="G11" i="8" s="1"/>
  <c r="E10" i="8"/>
  <c r="G10" i="8" s="1"/>
  <c r="E9" i="8"/>
  <c r="G9" i="8" s="1"/>
  <c r="E8" i="8"/>
  <c r="G8" i="8" s="1"/>
  <c r="L35" i="6"/>
  <c r="K35" i="6"/>
  <c r="L32" i="6"/>
  <c r="K32" i="6"/>
  <c r="J18" i="6"/>
  <c r="J17" i="6"/>
  <c r="J16" i="6"/>
  <c r="L8" i="6"/>
  <c r="L7" i="6"/>
  <c r="L6" i="6"/>
  <c r="I51" i="4"/>
  <c r="H51" i="4"/>
  <c r="G51" i="4"/>
  <c r="F51" i="4"/>
  <c r="AS35" i="4"/>
  <c r="AS34" i="4"/>
  <c r="AS33" i="4" s="1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AR32" i="4"/>
  <c r="AQ32" i="4"/>
  <c r="AP32" i="4"/>
  <c r="AO32" i="4"/>
  <c r="AN32" i="4"/>
  <c r="AM32" i="4"/>
  <c r="AL32" i="4"/>
  <c r="AK32" i="4"/>
  <c r="AS31" i="4"/>
  <c r="AJ29" i="4"/>
  <c r="AJ28" i="4"/>
  <c r="AJ27" i="4" s="1"/>
  <c r="AA28" i="4"/>
  <c r="AS28" i="4" s="1"/>
  <c r="M28" i="4"/>
  <c r="L28" i="4"/>
  <c r="K28" i="4"/>
  <c r="J28" i="4"/>
  <c r="I28" i="4"/>
  <c r="H28" i="4"/>
  <c r="G28" i="4"/>
  <c r="F28" i="4"/>
  <c r="AR27" i="4"/>
  <c r="AQ27" i="4"/>
  <c r="AP27" i="4"/>
  <c r="AO27" i="4"/>
  <c r="AN27" i="4"/>
  <c r="AM27" i="4"/>
  <c r="AL27" i="4"/>
  <c r="AK27" i="4"/>
  <c r="AI27" i="4"/>
  <c r="AH27" i="4"/>
  <c r="AG27" i="4"/>
  <c r="AF27" i="4"/>
  <c r="AE27" i="4"/>
  <c r="AD27" i="4"/>
  <c r="AC27" i="4"/>
  <c r="AB27" i="4"/>
  <c r="N27" i="4"/>
  <c r="M27" i="4"/>
  <c r="L27" i="4"/>
  <c r="K27" i="4"/>
  <c r="J27" i="4"/>
  <c r="I27" i="4"/>
  <c r="H27" i="4"/>
  <c r="H24" i="4" s="1"/>
  <c r="G27" i="4"/>
  <c r="F27" i="4"/>
  <c r="AJ26" i="4"/>
  <c r="AA26" i="4"/>
  <c r="M26" i="4"/>
  <c r="M24" i="4" s="1"/>
  <c r="L26" i="4"/>
  <c r="L24" i="4" s="1"/>
  <c r="K26" i="4"/>
  <c r="J26" i="4"/>
  <c r="I26" i="4"/>
  <c r="H26" i="4"/>
  <c r="G26" i="4"/>
  <c r="F26" i="4"/>
  <c r="AJ25" i="4"/>
  <c r="AA25" i="4"/>
  <c r="AS25" i="4" s="1"/>
  <c r="AJ24" i="4"/>
  <c r="AA24" i="4"/>
  <c r="AS24" i="4" s="1"/>
  <c r="V24" i="4"/>
  <c r="U24" i="4"/>
  <c r="T24" i="4"/>
  <c r="S24" i="4"/>
  <c r="R24" i="4"/>
  <c r="Q24" i="4"/>
  <c r="P24" i="4"/>
  <c r="O24" i="4"/>
  <c r="K24" i="4"/>
  <c r="G24" i="4"/>
  <c r="AJ23" i="4"/>
  <c r="AA23" i="4"/>
  <c r="V23" i="4"/>
  <c r="U23" i="4"/>
  <c r="U21" i="4" s="1"/>
  <c r="T23" i="4"/>
  <c r="S23" i="4"/>
  <c r="R23" i="4"/>
  <c r="R21" i="4" s="1"/>
  <c r="Q23" i="4"/>
  <c r="Q21" i="4" s="1"/>
  <c r="P23" i="4"/>
  <c r="O23" i="4"/>
  <c r="N23" i="4"/>
  <c r="M23" i="4"/>
  <c r="M21" i="4" s="1"/>
  <c r="L23" i="4"/>
  <c r="K23" i="4"/>
  <c r="J23" i="4"/>
  <c r="I23" i="4"/>
  <c r="I21" i="4" s="1"/>
  <c r="H23" i="4"/>
  <c r="G23" i="4"/>
  <c r="F23" i="4"/>
  <c r="AJ22" i="4"/>
  <c r="AA22" i="4"/>
  <c r="AS22" i="4" s="1"/>
  <c r="N22" i="4"/>
  <c r="N21" i="4" s="1"/>
  <c r="M22" i="4"/>
  <c r="L22" i="4"/>
  <c r="L21" i="4" s="1"/>
  <c r="K22" i="4"/>
  <c r="K21" i="4" s="1"/>
  <c r="J22" i="4"/>
  <c r="I22" i="4"/>
  <c r="H22" i="4"/>
  <c r="G22" i="4"/>
  <c r="F22" i="4"/>
  <c r="F21" i="4" s="1"/>
  <c r="E22" i="4"/>
  <c r="AJ21" i="4"/>
  <c r="AA21" i="4"/>
  <c r="V21" i="4"/>
  <c r="T21" i="4"/>
  <c r="S21" i="4"/>
  <c r="P21" i="4"/>
  <c r="O21" i="4"/>
  <c r="J21" i="4"/>
  <c r="H21" i="4"/>
  <c r="G21" i="4"/>
  <c r="AS20" i="4"/>
  <c r="AJ20" i="4"/>
  <c r="AA20" i="4"/>
  <c r="N20" i="4"/>
  <c r="AJ19" i="4"/>
  <c r="AS19" i="4" s="1"/>
  <c r="AA19" i="4"/>
  <c r="AA18" i="4"/>
  <c r="N18" i="4"/>
  <c r="N16" i="4" s="1"/>
  <c r="M18" i="4"/>
  <c r="M16" i="4" s="1"/>
  <c r="L18" i="4"/>
  <c r="L16" i="4" s="1"/>
  <c r="K18" i="4"/>
  <c r="J18" i="4"/>
  <c r="I18" i="4"/>
  <c r="H18" i="4"/>
  <c r="H16" i="4" s="1"/>
  <c r="G18" i="4"/>
  <c r="G16" i="4" s="1"/>
  <c r="F18" i="4"/>
  <c r="F16" i="4" s="1"/>
  <c r="AJ17" i="4"/>
  <c r="AA17" i="4"/>
  <c r="AJ16" i="4"/>
  <c r="AA16" i="4"/>
  <c r="V16" i="4"/>
  <c r="U16" i="4"/>
  <c r="T16" i="4"/>
  <c r="S16" i="4"/>
  <c r="R16" i="4"/>
  <c r="Q16" i="4"/>
  <c r="P16" i="4"/>
  <c r="O16" i="4"/>
  <c r="K16" i="4"/>
  <c r="J16" i="4"/>
  <c r="I16" i="4"/>
  <c r="AS15" i="4"/>
  <c r="AJ15" i="4"/>
  <c r="AA15" i="4"/>
  <c r="N15" i="4"/>
  <c r="M15" i="4"/>
  <c r="L15" i="4"/>
  <c r="K15" i="4"/>
  <c r="J15" i="4"/>
  <c r="I15" i="4"/>
  <c r="H15" i="4"/>
  <c r="G15" i="4"/>
  <c r="F15" i="4"/>
  <c r="E15" i="4"/>
  <c r="W15" i="4" s="1"/>
  <c r="N14" i="4"/>
  <c r="N12" i="4" s="1"/>
  <c r="M14" i="4"/>
  <c r="M12" i="4" s="1"/>
  <c r="L14" i="4"/>
  <c r="K14" i="4"/>
  <c r="J14" i="4"/>
  <c r="I14" i="4"/>
  <c r="I12" i="4" s="1"/>
  <c r="H14" i="4"/>
  <c r="H12" i="4" s="1"/>
  <c r="G14" i="4"/>
  <c r="F14" i="4"/>
  <c r="AJ13" i="4"/>
  <c r="AJ12" i="4"/>
  <c r="AA12" i="4"/>
  <c r="AS12" i="4" s="1"/>
  <c r="L12" i="4"/>
  <c r="K12" i="4"/>
  <c r="J12" i="4"/>
  <c r="G12" i="4"/>
  <c r="F12" i="4"/>
  <c r="M11" i="4"/>
  <c r="L11" i="4"/>
  <c r="K11" i="4"/>
  <c r="J11" i="4"/>
  <c r="I11" i="4"/>
  <c r="H11" i="4"/>
  <c r="G11" i="4"/>
  <c r="F11" i="4"/>
  <c r="AJ10" i="4"/>
  <c r="AA10" i="4"/>
  <c r="AS10" i="4" s="1"/>
  <c r="M10" i="4"/>
  <c r="L10" i="4"/>
  <c r="L9" i="4" s="1"/>
  <c r="L5" i="4" s="1"/>
  <c r="L4" i="4" s="1"/>
  <c r="K10" i="4"/>
  <c r="K9" i="4" s="1"/>
  <c r="K5" i="4" s="1"/>
  <c r="K4" i="4" s="1"/>
  <c r="J10" i="4"/>
  <c r="J9" i="4" s="1"/>
  <c r="I10" i="4"/>
  <c r="I9" i="4" s="1"/>
  <c r="I5" i="4" s="1"/>
  <c r="H10" i="4"/>
  <c r="G10" i="4"/>
  <c r="G9" i="4" s="1"/>
  <c r="F10" i="4"/>
  <c r="F9" i="4" s="1"/>
  <c r="AA9" i="4"/>
  <c r="V9" i="4"/>
  <c r="U9" i="4"/>
  <c r="T9" i="4"/>
  <c r="S9" i="4"/>
  <c r="R9" i="4"/>
  <c r="Q9" i="4"/>
  <c r="P9" i="4"/>
  <c r="O9" i="4"/>
  <c r="M9" i="4"/>
  <c r="H9" i="4"/>
  <c r="AJ8" i="4"/>
  <c r="AA8" i="4"/>
  <c r="AJ7" i="4"/>
  <c r="AA7" i="4"/>
  <c r="AS7" i="4" s="1"/>
  <c r="M7" i="4"/>
  <c r="M6" i="4" s="1"/>
  <c r="L7" i="4"/>
  <c r="K7" i="4"/>
  <c r="J7" i="4"/>
  <c r="I7" i="4"/>
  <c r="H7" i="4"/>
  <c r="H6" i="4" s="1"/>
  <c r="G7" i="4"/>
  <c r="G6" i="4" s="1"/>
  <c r="F7" i="4"/>
  <c r="F6" i="4" s="1"/>
  <c r="AR6" i="4"/>
  <c r="AR5" i="4" s="1"/>
  <c r="AR4" i="4" s="1"/>
  <c r="AQ6" i="4"/>
  <c r="AQ5" i="4" s="1"/>
  <c r="AP6" i="4"/>
  <c r="AP5" i="4" s="1"/>
  <c r="AP4" i="4" s="1"/>
  <c r="AO6" i="4"/>
  <c r="AO5" i="4" s="1"/>
  <c r="AO4" i="4" s="1"/>
  <c r="AN6" i="4"/>
  <c r="AM6" i="4"/>
  <c r="AL6" i="4"/>
  <c r="AL5" i="4" s="1"/>
  <c r="AL4" i="4" s="1"/>
  <c r="AK6" i="4"/>
  <c r="AK5" i="4" s="1"/>
  <c r="AI6" i="4"/>
  <c r="AI5" i="4" s="1"/>
  <c r="AI4" i="4" s="1"/>
  <c r="AH6" i="4"/>
  <c r="AH5" i="4" s="1"/>
  <c r="AH4" i="4" s="1"/>
  <c r="AG6" i="4"/>
  <c r="AF6" i="4"/>
  <c r="AE6" i="4"/>
  <c r="AE5" i="4" s="1"/>
  <c r="AD6" i="4"/>
  <c r="AD5" i="4" s="1"/>
  <c r="AD4" i="4" s="1"/>
  <c r="AC6" i="4"/>
  <c r="AC5" i="4" s="1"/>
  <c r="AC4" i="4" s="1"/>
  <c r="AB6" i="4"/>
  <c r="AB5" i="4" s="1"/>
  <c r="AB4" i="4" s="1"/>
  <c r="V6" i="4"/>
  <c r="U6" i="4"/>
  <c r="T6" i="4"/>
  <c r="S6" i="4"/>
  <c r="R6" i="4"/>
  <c r="R5" i="4" s="1"/>
  <c r="R4" i="4" s="1"/>
  <c r="Q6" i="4"/>
  <c r="Q5" i="4" s="1"/>
  <c r="Q4" i="4" s="1"/>
  <c r="P6" i="4"/>
  <c r="P5" i="4" s="1"/>
  <c r="P4" i="4" s="1"/>
  <c r="O6" i="4"/>
  <c r="L6" i="4"/>
  <c r="K6" i="4"/>
  <c r="J6" i="4"/>
  <c r="J5" i="4" s="1"/>
  <c r="J4" i="4" s="1"/>
  <c r="I6" i="4"/>
  <c r="AN5" i="4"/>
  <c r="AN4" i="4" s="1"/>
  <c r="AM5" i="4"/>
  <c r="AG5" i="4"/>
  <c r="AG4" i="4" s="1"/>
  <c r="AF5" i="4"/>
  <c r="AF4" i="4" s="1"/>
  <c r="S5" i="4"/>
  <c r="S4" i="4" s="1"/>
  <c r="F47" i="18" l="1"/>
  <c r="E10" i="4"/>
  <c r="AS14" i="4"/>
  <c r="J228" i="16"/>
  <c r="I290" i="16"/>
  <c r="I289" i="16" s="1"/>
  <c r="AQ4" i="4"/>
  <c r="AS16" i="4"/>
  <c r="AS21" i="4"/>
  <c r="N26" i="4"/>
  <c r="N24" i="4" s="1"/>
  <c r="G15" i="9"/>
  <c r="G14" i="9" s="1"/>
  <c r="C18" i="8" s="1"/>
  <c r="G18" i="8" s="1"/>
  <c r="F31" i="11"/>
  <c r="H178" i="16"/>
  <c r="J178" i="16" s="1"/>
  <c r="W192" i="16"/>
  <c r="W191" i="16" s="1"/>
  <c r="H191" i="16" s="1"/>
  <c r="H190" i="16" s="1"/>
  <c r="J205" i="16"/>
  <c r="W22" i="4"/>
  <c r="AE4" i="4"/>
  <c r="G14" i="10"/>
  <c r="E26" i="8" s="1"/>
  <c r="E25" i="6" s="1"/>
  <c r="H51" i="11"/>
  <c r="H50" i="11" s="1"/>
  <c r="K26" i="18" s="1"/>
  <c r="K25" i="18" s="1"/>
  <c r="W42" i="16"/>
  <c r="H42" i="16" s="1"/>
  <c r="H41" i="16" s="1"/>
  <c r="J330" i="16"/>
  <c r="F5" i="20"/>
  <c r="O5" i="4"/>
  <c r="O4" i="4" s="1"/>
  <c r="AS8" i="4"/>
  <c r="AS17" i="4"/>
  <c r="AS26" i="4"/>
  <c r="J17" i="11"/>
  <c r="F33" i="11"/>
  <c r="F52" i="11"/>
  <c r="H296" i="16"/>
  <c r="H295" i="16" s="1"/>
  <c r="J331" i="16"/>
  <c r="J62" i="18"/>
  <c r="L62" i="18" s="1"/>
  <c r="L59" i="18" s="1"/>
  <c r="G7" i="20"/>
  <c r="E26" i="4"/>
  <c r="W26" i="4" s="1"/>
  <c r="H33" i="11"/>
  <c r="S10" i="14"/>
  <c r="G10" i="14" s="1"/>
  <c r="S110" i="14"/>
  <c r="G110" i="14" s="1"/>
  <c r="W29" i="16"/>
  <c r="H29" i="16" s="1"/>
  <c r="W152" i="16"/>
  <c r="W151" i="16" s="1"/>
  <c r="H151" i="16" s="1"/>
  <c r="J151" i="16" s="1"/>
  <c r="W281" i="16"/>
  <c r="W280" i="16" s="1"/>
  <c r="H280" i="16" s="1"/>
  <c r="J280" i="16" s="1"/>
  <c r="AM4" i="4"/>
  <c r="I115" i="16"/>
  <c r="I114" i="16" s="1"/>
  <c r="I113" i="16" s="1"/>
  <c r="D19" i="10"/>
  <c r="H5" i="4"/>
  <c r="H4" i="4" s="1"/>
  <c r="T5" i="4"/>
  <c r="T4" i="4" s="1"/>
  <c r="H11" i="11"/>
  <c r="J180" i="16"/>
  <c r="AK4" i="4"/>
  <c r="U5" i="4"/>
  <c r="U4" i="4" s="1"/>
  <c r="N10" i="4"/>
  <c r="N9" i="4" s="1"/>
  <c r="I24" i="4"/>
  <c r="I4" i="4" s="1"/>
  <c r="F24" i="4"/>
  <c r="AA29" i="4"/>
  <c r="AS29" i="4" s="1"/>
  <c r="F13" i="11"/>
  <c r="F28" i="11"/>
  <c r="G118" i="14"/>
  <c r="G117" i="14" s="1"/>
  <c r="H48" i="16"/>
  <c r="I87" i="16"/>
  <c r="I86" i="16" s="1"/>
  <c r="I85" i="16" s="1"/>
  <c r="I84" i="16" s="1"/>
  <c r="W237" i="16"/>
  <c r="W236" i="16" s="1"/>
  <c r="H236" i="16" s="1"/>
  <c r="I257" i="16"/>
  <c r="I256" i="16" s="1"/>
  <c r="I255" i="16" s="1"/>
  <c r="M5" i="4"/>
  <c r="M4" i="4" s="1"/>
  <c r="E17" i="18"/>
  <c r="F5" i="4"/>
  <c r="F4" i="4" s="1"/>
  <c r="J24" i="4"/>
  <c r="I240" i="16"/>
  <c r="J286" i="16"/>
  <c r="V5" i="4"/>
  <c r="V4" i="4" s="1"/>
  <c r="G5" i="4"/>
  <c r="G4" i="4" s="1"/>
  <c r="AS23" i="4"/>
  <c r="G10" i="9"/>
  <c r="D48" i="18" s="1"/>
  <c r="F48" i="18" s="1"/>
  <c r="J12" i="12"/>
  <c r="K12" i="12" s="1"/>
  <c r="J47" i="12"/>
  <c r="K47" i="12" s="1"/>
  <c r="F75" i="12"/>
  <c r="W212" i="16"/>
  <c r="W211" i="16" s="1"/>
  <c r="H211" i="16" s="1"/>
  <c r="I226" i="16"/>
  <c r="J271" i="16"/>
  <c r="W326" i="16"/>
  <c r="W325" i="16" s="1"/>
  <c r="H325" i="16" s="1"/>
  <c r="E24" i="6"/>
  <c r="E16" i="8"/>
  <c r="G25" i="8"/>
  <c r="K18" i="18"/>
  <c r="E9" i="18"/>
  <c r="E8" i="18" s="1"/>
  <c r="H7" i="11"/>
  <c r="N7" i="4"/>
  <c r="N6" i="4" s="1"/>
  <c r="N5" i="4" s="1"/>
  <c r="N4" i="4" s="1"/>
  <c r="J33" i="11"/>
  <c r="K33" i="11" s="1"/>
  <c r="J25" i="11"/>
  <c r="K25" i="11" s="1"/>
  <c r="D13" i="18"/>
  <c r="F13" i="18" s="1"/>
  <c r="D10" i="9"/>
  <c r="E10" i="18"/>
  <c r="AJ6" i="4"/>
  <c r="AJ5" i="4" s="1"/>
  <c r="AS9" i="4"/>
  <c r="E26" i="6"/>
  <c r="G27" i="8"/>
  <c r="D12" i="18"/>
  <c r="F12" i="18" s="1"/>
  <c r="J18" i="11"/>
  <c r="K18" i="11" s="1"/>
  <c r="D9" i="9"/>
  <c r="H44" i="11"/>
  <c r="E20" i="4"/>
  <c r="W20" i="4" s="1"/>
  <c r="D61" i="18"/>
  <c r="F63" i="18"/>
  <c r="F61" i="18" s="1"/>
  <c r="L54" i="18"/>
  <c r="L53" i="18" s="1"/>
  <c r="J53" i="18"/>
  <c r="F14" i="11"/>
  <c r="H7" i="12"/>
  <c r="I10" i="14"/>
  <c r="I9" i="14" s="1"/>
  <c r="I107" i="14"/>
  <c r="I106" i="14" s="1"/>
  <c r="G106" i="14"/>
  <c r="H242" i="16"/>
  <c r="J243" i="16"/>
  <c r="I303" i="16"/>
  <c r="I302" i="16" s="1"/>
  <c r="I301" i="16" s="1"/>
  <c r="I300" i="16" s="1"/>
  <c r="I11" i="16" s="1"/>
  <c r="H334" i="16"/>
  <c r="J334" i="16" s="1"/>
  <c r="J335" i="16"/>
  <c r="J22" i="12"/>
  <c r="K22" i="12" s="1"/>
  <c r="J34" i="16"/>
  <c r="H33" i="16"/>
  <c r="J33" i="16" s="1"/>
  <c r="J26" i="11"/>
  <c r="K26" i="11" s="1"/>
  <c r="J34" i="11"/>
  <c r="K34" i="11" s="1"/>
  <c r="J24" i="12"/>
  <c r="K24" i="12" s="1"/>
  <c r="H21" i="16"/>
  <c r="H20" i="16" s="1"/>
  <c r="H15" i="16" s="1"/>
  <c r="H14" i="16" s="1"/>
  <c r="H13" i="16" s="1"/>
  <c r="J22" i="16"/>
  <c r="J21" i="16" s="1"/>
  <c r="J20" i="16" s="1"/>
  <c r="H88" i="16"/>
  <c r="J100" i="16"/>
  <c r="H99" i="16"/>
  <c r="J99" i="16" s="1"/>
  <c r="J304" i="16"/>
  <c r="E14" i="4"/>
  <c r="J8" i="12"/>
  <c r="K8" i="12" s="1"/>
  <c r="G90" i="14"/>
  <c r="I90" i="14" s="1"/>
  <c r="I91" i="14"/>
  <c r="G109" i="14"/>
  <c r="I110" i="14"/>
  <c r="I109" i="14" s="1"/>
  <c r="J71" i="16"/>
  <c r="J70" i="16" s="1"/>
  <c r="H70" i="16"/>
  <c r="H304" i="16"/>
  <c r="J71" i="12"/>
  <c r="F7" i="12"/>
  <c r="J42" i="18"/>
  <c r="L43" i="18"/>
  <c r="L42" i="18" s="1"/>
  <c r="J21" i="11"/>
  <c r="K21" i="11" s="1"/>
  <c r="E44" i="18"/>
  <c r="F44" i="18" s="1"/>
  <c r="H60" i="12"/>
  <c r="J39" i="16"/>
  <c r="J38" i="16" s="1"/>
  <c r="H38" i="16"/>
  <c r="J88" i="16"/>
  <c r="J45" i="11"/>
  <c r="K45" i="11" s="1"/>
  <c r="J259" i="16"/>
  <c r="J258" i="16" s="1"/>
  <c r="H258" i="16"/>
  <c r="J12" i="11"/>
  <c r="K12" i="11" s="1"/>
  <c r="J52" i="11"/>
  <c r="K52" i="11" s="1"/>
  <c r="I95" i="14"/>
  <c r="G94" i="14"/>
  <c r="I94" i="14" s="1"/>
  <c r="H73" i="16"/>
  <c r="J74" i="16"/>
  <c r="J73" i="16" s="1"/>
  <c r="W118" i="16"/>
  <c r="W117" i="16" s="1"/>
  <c r="H117" i="16" s="1"/>
  <c r="H274" i="16"/>
  <c r="J274" i="16" s="1"/>
  <c r="J275" i="16"/>
  <c r="H27" i="11"/>
  <c r="J47" i="11"/>
  <c r="K47" i="11" s="1"/>
  <c r="J27" i="12"/>
  <c r="K27" i="12" s="1"/>
  <c r="I22" i="14"/>
  <c r="I21" i="14" s="1"/>
  <c r="G21" i="14"/>
  <c r="I12" i="16"/>
  <c r="I6" i="16" s="1"/>
  <c r="J42" i="16"/>
  <c r="J41" i="16" s="1"/>
  <c r="J56" i="16"/>
  <c r="H55" i="16"/>
  <c r="H166" i="16"/>
  <c r="J167" i="16"/>
  <c r="J166" i="16" s="1"/>
  <c r="AA11" i="4"/>
  <c r="I30" i="9"/>
  <c r="I97" i="14"/>
  <c r="J94" i="16"/>
  <c r="J93" i="16" s="1"/>
  <c r="H93" i="16"/>
  <c r="H199" i="16"/>
  <c r="J199" i="16" s="1"/>
  <c r="J200" i="16"/>
  <c r="J82" i="16"/>
  <c r="J81" i="16" s="1"/>
  <c r="H81" i="16"/>
  <c r="J285" i="16"/>
  <c r="E18" i="4"/>
  <c r="H75" i="12"/>
  <c r="J29" i="16"/>
  <c r="H28" i="16"/>
  <c r="H105" i="16"/>
  <c r="J105" i="16" s="1"/>
  <c r="H279" i="16"/>
  <c r="J279" i="16" s="1"/>
  <c r="C9" i="22"/>
  <c r="K17" i="18"/>
  <c r="K16" i="18" s="1"/>
  <c r="J65" i="16"/>
  <c r="H64" i="16"/>
  <c r="J64" i="16" s="1"/>
  <c r="F49" i="11"/>
  <c r="J29" i="12"/>
  <c r="K29" i="12" s="1"/>
  <c r="J37" i="12"/>
  <c r="K37" i="12" s="1"/>
  <c r="J61" i="12"/>
  <c r="K61" i="12" s="1"/>
  <c r="F60" i="12"/>
  <c r="J175" i="16"/>
  <c r="W187" i="16"/>
  <c r="W186" i="16" s="1"/>
  <c r="H186" i="16" s="1"/>
  <c r="H251" i="16"/>
  <c r="J252" i="16"/>
  <c r="L56" i="18"/>
  <c r="L55" i="18" s="1"/>
  <c r="J320" i="16"/>
  <c r="H319" i="16"/>
  <c r="J319" i="16" s="1"/>
  <c r="J17" i="18"/>
  <c r="J79" i="16"/>
  <c r="J78" i="16" s="1"/>
  <c r="H78" i="16"/>
  <c r="H316" i="16"/>
  <c r="J316" i="16" s="1"/>
  <c r="J317" i="16"/>
  <c r="G98" i="14"/>
  <c r="J174" i="16"/>
  <c r="J173" i="16" s="1"/>
  <c r="J55" i="18"/>
  <c r="H175" i="16"/>
  <c r="H180" i="16"/>
  <c r="H228" i="16"/>
  <c r="H227" i="16" s="1"/>
  <c r="H292" i="16"/>
  <c r="G85" i="14"/>
  <c r="J219" i="16"/>
  <c r="J218" i="16" s="1"/>
  <c r="F68" i="12"/>
  <c r="J75" i="12"/>
  <c r="K75" i="12" s="1"/>
  <c r="J97" i="16"/>
  <c r="J233" i="16"/>
  <c r="J232" i="16" s="1"/>
  <c r="J231" i="16" s="1"/>
  <c r="J253" i="16"/>
  <c r="J288" i="16"/>
  <c r="D51" i="18"/>
  <c r="C6" i="22"/>
  <c r="C5" i="22" s="1"/>
  <c r="G101" i="14"/>
  <c r="H216" i="16"/>
  <c r="H221" i="16"/>
  <c r="H246" i="16"/>
  <c r="J246" i="16" s="1"/>
  <c r="H332" i="16"/>
  <c r="J332" i="16" s="1"/>
  <c r="E11" i="4" l="1"/>
  <c r="W11" i="4" s="1"/>
  <c r="J13" i="11"/>
  <c r="K13" i="11" s="1"/>
  <c r="I225" i="16"/>
  <c r="I112" i="16" s="1"/>
  <c r="I8" i="16" s="1"/>
  <c r="I5" i="16" s="1"/>
  <c r="J211" i="16"/>
  <c r="J210" i="16" s="1"/>
  <c r="H210" i="16"/>
  <c r="D18" i="18"/>
  <c r="D15" i="9"/>
  <c r="F27" i="11"/>
  <c r="J27" i="11" s="1"/>
  <c r="K27" i="11" s="1"/>
  <c r="F51" i="11"/>
  <c r="D27" i="10"/>
  <c r="D26" i="10" s="1"/>
  <c r="E14" i="8" s="1"/>
  <c r="G14" i="8" s="1"/>
  <c r="E28" i="4"/>
  <c r="W28" i="4" s="1"/>
  <c r="W10" i="4"/>
  <c r="E9" i="4"/>
  <c r="W9" i="4" s="1"/>
  <c r="J28" i="11"/>
  <c r="K28" i="11" s="1"/>
  <c r="D56" i="18"/>
  <c r="AA32" i="4"/>
  <c r="F11" i="11"/>
  <c r="J59" i="18"/>
  <c r="H324" i="16"/>
  <c r="J324" i="16" s="1"/>
  <c r="J303" i="16" s="1"/>
  <c r="J302" i="16" s="1"/>
  <c r="J325" i="16"/>
  <c r="G8" i="14"/>
  <c r="G26" i="8"/>
  <c r="J191" i="16"/>
  <c r="J190" i="16" s="1"/>
  <c r="I254" i="16"/>
  <c r="I9" i="16" s="1"/>
  <c r="G9" i="14"/>
  <c r="F9" i="11"/>
  <c r="J31" i="11"/>
  <c r="K31" i="11" s="1"/>
  <c r="F30" i="11"/>
  <c r="E23" i="4"/>
  <c r="G30" i="10"/>
  <c r="I29" i="9" s="1"/>
  <c r="J236" i="16"/>
  <c r="H235" i="16"/>
  <c r="H27" i="16"/>
  <c r="J28" i="16"/>
  <c r="J87" i="16"/>
  <c r="D11" i="18"/>
  <c r="F11" i="18" s="1"/>
  <c r="D8" i="9"/>
  <c r="J14" i="11"/>
  <c r="K14" i="11" s="1"/>
  <c r="L17" i="18"/>
  <c r="E12" i="4"/>
  <c r="W14" i="4"/>
  <c r="F51" i="18"/>
  <c r="D50" i="18"/>
  <c r="F50" i="18" s="1"/>
  <c r="E56" i="18"/>
  <c r="F56" i="18" s="1"/>
  <c r="AJ32" i="4"/>
  <c r="H54" i="16"/>
  <c r="J55" i="16"/>
  <c r="H59" i="12"/>
  <c r="J242" i="16"/>
  <c r="H241" i="16"/>
  <c r="H6" i="11"/>
  <c r="J227" i="16"/>
  <c r="G105" i="14"/>
  <c r="G104" i="14" s="1"/>
  <c r="H32" i="11"/>
  <c r="E7" i="18"/>
  <c r="D20" i="10"/>
  <c r="D17" i="10" s="1"/>
  <c r="E27" i="4"/>
  <c r="F48" i="11"/>
  <c r="J49" i="11"/>
  <c r="K49" i="11" s="1"/>
  <c r="F6" i="12"/>
  <c r="J7" i="12"/>
  <c r="K7" i="12" s="1"/>
  <c r="I105" i="14"/>
  <c r="I104" i="14" s="1"/>
  <c r="H291" i="16"/>
  <c r="J292" i="16"/>
  <c r="J251" i="16"/>
  <c r="J250" i="16" s="1"/>
  <c r="J249" i="16" s="1"/>
  <c r="H250" i="16"/>
  <c r="H249" i="16" s="1"/>
  <c r="E16" i="4"/>
  <c r="W18" i="4"/>
  <c r="W16" i="4" s="1"/>
  <c r="H257" i="16"/>
  <c r="H256" i="16" s="1"/>
  <c r="H255" i="16" s="1"/>
  <c r="H87" i="16"/>
  <c r="H86" i="16" s="1"/>
  <c r="I8" i="14"/>
  <c r="I7" i="14" s="1"/>
  <c r="J221" i="16"/>
  <c r="J220" i="16" s="1"/>
  <c r="H220" i="16"/>
  <c r="J117" i="16"/>
  <c r="J116" i="16" s="1"/>
  <c r="H116" i="16"/>
  <c r="J257" i="16"/>
  <c r="J256" i="16" s="1"/>
  <c r="J255" i="16" s="1"/>
  <c r="N45" i="18"/>
  <c r="N44" i="18"/>
  <c r="H6" i="12"/>
  <c r="H185" i="16"/>
  <c r="J186" i="16"/>
  <c r="J185" i="16" s="1"/>
  <c r="J13" i="16"/>
  <c r="G21" i="6"/>
  <c r="AA30" i="4"/>
  <c r="J68" i="12"/>
  <c r="K68" i="12" s="1"/>
  <c r="G97" i="14"/>
  <c r="J60" i="12"/>
  <c r="K60" i="12" s="1"/>
  <c r="F59" i="12"/>
  <c r="AS11" i="4"/>
  <c r="AS6" i="4" s="1"/>
  <c r="AS5" i="4" s="1"/>
  <c r="AA6" i="4"/>
  <c r="AA5" i="4" s="1"/>
  <c r="H303" i="16"/>
  <c r="H302" i="16" s="1"/>
  <c r="H301" i="16" s="1"/>
  <c r="E22" i="6"/>
  <c r="F50" i="11" l="1"/>
  <c r="J51" i="11"/>
  <c r="K51" i="11" s="1"/>
  <c r="J235" i="16"/>
  <c r="H234" i="16"/>
  <c r="I6" i="14"/>
  <c r="I5" i="14" s="1"/>
  <c r="D14" i="9"/>
  <c r="C6" i="8" s="1"/>
  <c r="F18" i="18"/>
  <c r="F17" i="18" s="1"/>
  <c r="D17" i="18"/>
  <c r="W23" i="4"/>
  <c r="W21" i="4" s="1"/>
  <c r="E21" i="4"/>
  <c r="D10" i="18"/>
  <c r="F10" i="18" s="1"/>
  <c r="D7" i="9"/>
  <c r="J11" i="11"/>
  <c r="K11" i="11" s="1"/>
  <c r="D20" i="18"/>
  <c r="F20" i="18" s="1"/>
  <c r="D16" i="9"/>
  <c r="J30" i="11"/>
  <c r="K30" i="11" s="1"/>
  <c r="G7" i="14"/>
  <c r="G6" i="14" s="1"/>
  <c r="G5" i="14" s="1"/>
  <c r="D6" i="9"/>
  <c r="D5" i="9" s="1"/>
  <c r="F8" i="11"/>
  <c r="J9" i="11"/>
  <c r="K9" i="11" s="1"/>
  <c r="H115" i="16"/>
  <c r="AS32" i="4"/>
  <c r="AS4" i="4" s="1"/>
  <c r="J18" i="18"/>
  <c r="J48" i="11"/>
  <c r="K48" i="11" s="1"/>
  <c r="F44" i="11"/>
  <c r="AJ4" i="4"/>
  <c r="AA4" i="4"/>
  <c r="J291" i="16"/>
  <c r="J290" i="16" s="1"/>
  <c r="J289" i="16" s="1"/>
  <c r="J254" i="16" s="1"/>
  <c r="J9" i="16" s="1"/>
  <c r="H290" i="16"/>
  <c r="H289" i="16" s="1"/>
  <c r="H254" i="16" s="1"/>
  <c r="H9" i="16" s="1"/>
  <c r="H114" i="16"/>
  <c r="J115" i="16"/>
  <c r="W12" i="4"/>
  <c r="H5" i="11"/>
  <c r="I6" i="11"/>
  <c r="E12" i="8"/>
  <c r="D30" i="10"/>
  <c r="G31" i="10" s="1"/>
  <c r="J301" i="16"/>
  <c r="J300" i="16" s="1"/>
  <c r="J11" i="16" s="1"/>
  <c r="H300" i="16"/>
  <c r="H11" i="16" s="1"/>
  <c r="W27" i="4"/>
  <c r="E24" i="4"/>
  <c r="W24" i="4" s="1"/>
  <c r="J241" i="16"/>
  <c r="J240" i="16" s="1"/>
  <c r="H240" i="16"/>
  <c r="J59" i="12"/>
  <c r="K59" i="12" s="1"/>
  <c r="H5" i="12"/>
  <c r="I59" i="12" s="1"/>
  <c r="H26" i="16"/>
  <c r="H25" i="16" s="1"/>
  <c r="H24" i="16" s="1"/>
  <c r="J27" i="16"/>
  <c r="J26" i="16" s="1"/>
  <c r="J25" i="16" s="1"/>
  <c r="J24" i="16" s="1"/>
  <c r="D29" i="9"/>
  <c r="C5" i="8"/>
  <c r="AS30" i="4"/>
  <c r="AS27" i="4" s="1"/>
  <c r="AA27" i="4"/>
  <c r="J6" i="12"/>
  <c r="K6" i="12" s="1"/>
  <c r="F5" i="12"/>
  <c r="G6" i="12" s="1"/>
  <c r="H53" i="16"/>
  <c r="H52" i="16" s="1"/>
  <c r="H51" i="16" s="1"/>
  <c r="J54" i="16"/>
  <c r="J53" i="16" s="1"/>
  <c r="J52" i="16" s="1"/>
  <c r="J51" i="16" s="1"/>
  <c r="N46" i="18"/>
  <c r="E45" i="18" s="1"/>
  <c r="E43" i="18" s="1"/>
  <c r="E42" i="18" s="1"/>
  <c r="H85" i="16"/>
  <c r="J86" i="16"/>
  <c r="D6" i="6"/>
  <c r="I6" i="12" l="1"/>
  <c r="D5" i="6"/>
  <c r="E7" i="4"/>
  <c r="D9" i="18"/>
  <c r="J8" i="11"/>
  <c r="K8" i="11" s="1"/>
  <c r="F7" i="11"/>
  <c r="C15" i="6"/>
  <c r="G6" i="8"/>
  <c r="J234" i="16"/>
  <c r="J226" i="16" s="1"/>
  <c r="H226" i="16"/>
  <c r="H225" i="16" s="1"/>
  <c r="J225" i="16"/>
  <c r="J50" i="11"/>
  <c r="K50" i="11" s="1"/>
  <c r="J26" i="18"/>
  <c r="I42" i="11"/>
  <c r="I13" i="11"/>
  <c r="I36" i="11"/>
  <c r="I20" i="11"/>
  <c r="I5" i="11"/>
  <c r="I15" i="11"/>
  <c r="I41" i="11"/>
  <c r="I22" i="11"/>
  <c r="I38" i="11"/>
  <c r="I35" i="11"/>
  <c r="I19" i="11"/>
  <c r="I10" i="11"/>
  <c r="I39" i="11"/>
  <c r="I40" i="11"/>
  <c r="I21" i="11"/>
  <c r="I46" i="11"/>
  <c r="I43" i="11"/>
  <c r="I16" i="11"/>
  <c r="I37" i="11"/>
  <c r="I30" i="11"/>
  <c r="I49" i="11"/>
  <c r="I34" i="11"/>
  <c r="I9" i="11"/>
  <c r="I52" i="11"/>
  <c r="I17" i="11"/>
  <c r="I50" i="11"/>
  <c r="I11" i="11"/>
  <c r="I45" i="11"/>
  <c r="I29" i="11"/>
  <c r="I28" i="11"/>
  <c r="I51" i="11"/>
  <c r="I33" i="11"/>
  <c r="I31" i="11"/>
  <c r="I47" i="11"/>
  <c r="I12" i="11"/>
  <c r="I8" i="11"/>
  <c r="I48" i="11"/>
  <c r="I18" i="11"/>
  <c r="I14" i="11"/>
  <c r="I44" i="11"/>
  <c r="I27" i="11"/>
  <c r="I7" i="11"/>
  <c r="C14" i="6"/>
  <c r="C4" i="8"/>
  <c r="G5" i="8"/>
  <c r="J44" i="11"/>
  <c r="K44" i="11" s="1"/>
  <c r="F32" i="11"/>
  <c r="G77" i="12"/>
  <c r="G67" i="12"/>
  <c r="G57" i="12"/>
  <c r="G44" i="12"/>
  <c r="G41" i="12"/>
  <c r="G38" i="12"/>
  <c r="G33" i="12"/>
  <c r="G30" i="12"/>
  <c r="G25" i="12"/>
  <c r="G20" i="12"/>
  <c r="G54" i="12"/>
  <c r="G64" i="12"/>
  <c r="G51" i="12"/>
  <c r="G46" i="12"/>
  <c r="G35" i="12"/>
  <c r="G17" i="12"/>
  <c r="G14" i="12"/>
  <c r="G74" i="12"/>
  <c r="G43" i="12"/>
  <c r="G63" i="12"/>
  <c r="G50" i="12"/>
  <c r="G16" i="12"/>
  <c r="G13" i="12"/>
  <c r="G70" i="12"/>
  <c r="G58" i="12"/>
  <c r="G39" i="12"/>
  <c r="G31" i="12"/>
  <c r="G26" i="12"/>
  <c r="G21" i="12"/>
  <c r="G65" i="12"/>
  <c r="G62" i="12"/>
  <c r="G36" i="12"/>
  <c r="G28" i="12"/>
  <c r="G23" i="12"/>
  <c r="G18" i="12"/>
  <c r="G15" i="12"/>
  <c r="G72" i="12"/>
  <c r="G5" i="12"/>
  <c r="G11" i="12"/>
  <c r="J5" i="12"/>
  <c r="K5" i="12" s="1"/>
  <c r="G10" i="12"/>
  <c r="G9" i="12"/>
  <c r="G56" i="12"/>
  <c r="G48" i="12"/>
  <c r="I28" i="9"/>
  <c r="I31" i="9" s="1"/>
  <c r="G7" i="9" s="1"/>
  <c r="G40" i="12"/>
  <c r="G32" i="12"/>
  <c r="G53" i="12"/>
  <c r="G22" i="12"/>
  <c r="G19" i="12"/>
  <c r="G8" i="12"/>
  <c r="G24" i="12"/>
  <c r="G71" i="12"/>
  <c r="G29" i="12"/>
  <c r="G34" i="12"/>
  <c r="G37" i="12"/>
  <c r="G66" i="12"/>
  <c r="G42" i="12"/>
  <c r="G75" i="12"/>
  <c r="G76" i="12"/>
  <c r="G69" i="12"/>
  <c r="G12" i="12"/>
  <c r="G61" i="12"/>
  <c r="G73" i="12"/>
  <c r="G47" i="12"/>
  <c r="G27" i="12"/>
  <c r="G55" i="12"/>
  <c r="G45" i="12"/>
  <c r="G49" i="12"/>
  <c r="G52" i="12"/>
  <c r="G7" i="12"/>
  <c r="G68" i="12"/>
  <c r="G60" i="12"/>
  <c r="I32" i="11"/>
  <c r="H12" i="16"/>
  <c r="H113" i="16"/>
  <c r="J114" i="16"/>
  <c r="G59" i="12"/>
  <c r="J85" i="16"/>
  <c r="H84" i="16"/>
  <c r="J84" i="16" s="1"/>
  <c r="I54" i="12"/>
  <c r="I64" i="12"/>
  <c r="I51" i="12"/>
  <c r="I46" i="12"/>
  <c r="I35" i="12"/>
  <c r="I17" i="12"/>
  <c r="I14" i="12"/>
  <c r="I74" i="12"/>
  <c r="I43" i="12"/>
  <c r="I56" i="12"/>
  <c r="I53" i="12"/>
  <c r="I48" i="12"/>
  <c r="I40" i="12"/>
  <c r="I32" i="12"/>
  <c r="I11" i="12"/>
  <c r="I63" i="12"/>
  <c r="I50" i="12"/>
  <c r="I16" i="12"/>
  <c r="I13" i="12"/>
  <c r="I70" i="12"/>
  <c r="I58" i="12"/>
  <c r="I39" i="12"/>
  <c r="I31" i="12"/>
  <c r="I26" i="12"/>
  <c r="I21" i="12"/>
  <c r="I10" i="12"/>
  <c r="I65" i="12"/>
  <c r="I62" i="12"/>
  <c r="I36" i="12"/>
  <c r="I28" i="12"/>
  <c r="I23" i="12"/>
  <c r="I18" i="12"/>
  <c r="I15" i="12"/>
  <c r="I5" i="12"/>
  <c r="I72" i="12"/>
  <c r="I77" i="12"/>
  <c r="I67" i="12"/>
  <c r="I57" i="12"/>
  <c r="I44" i="12"/>
  <c r="I41" i="12"/>
  <c r="I38" i="12"/>
  <c r="I33" i="12"/>
  <c r="I30" i="12"/>
  <c r="I25" i="12"/>
  <c r="I20" i="12"/>
  <c r="I9" i="12"/>
  <c r="I29" i="12"/>
  <c r="I8" i="12"/>
  <c r="I22" i="12"/>
  <c r="I24" i="12"/>
  <c r="I37" i="12"/>
  <c r="I55" i="12"/>
  <c r="I45" i="12"/>
  <c r="I76" i="12"/>
  <c r="I52" i="12"/>
  <c r="I73" i="12"/>
  <c r="I19" i="12"/>
  <c r="I34" i="12"/>
  <c r="I49" i="12"/>
  <c r="I66" i="12"/>
  <c r="I27" i="12"/>
  <c r="I68" i="12"/>
  <c r="I69" i="12"/>
  <c r="I12" i="12"/>
  <c r="I61" i="12"/>
  <c r="I71" i="12"/>
  <c r="I42" i="12"/>
  <c r="I47" i="12"/>
  <c r="I7" i="12"/>
  <c r="I75" i="12"/>
  <c r="I60" i="12"/>
  <c r="C27" i="6"/>
  <c r="C22" i="6" s="1"/>
  <c r="G12" i="8"/>
  <c r="E4" i="8"/>
  <c r="E31" i="8" s="1"/>
  <c r="L18" i="18"/>
  <c r="J16" i="18"/>
  <c r="L16" i="18" s="1"/>
  <c r="F6" i="11" l="1"/>
  <c r="J7" i="11"/>
  <c r="K7" i="11" s="1"/>
  <c r="F9" i="18"/>
  <c r="F8" i="18" s="1"/>
  <c r="F7" i="18" s="1"/>
  <c r="D8" i="18"/>
  <c r="E6" i="4"/>
  <c r="W7" i="4"/>
  <c r="L26" i="18"/>
  <c r="L25" i="18" s="1"/>
  <c r="J25" i="18"/>
  <c r="D7" i="18" s="1"/>
  <c r="C13" i="6"/>
  <c r="J113" i="16"/>
  <c r="H112" i="16"/>
  <c r="H6" i="16"/>
  <c r="J12" i="16"/>
  <c r="J6" i="16" s="1"/>
  <c r="J32" i="11"/>
  <c r="K32" i="11" s="1"/>
  <c r="D45" i="18"/>
  <c r="G5" i="9"/>
  <c r="G4" i="8"/>
  <c r="W6" i="4" l="1"/>
  <c r="W5" i="4" s="1"/>
  <c r="W4" i="4" s="1"/>
  <c r="E5" i="4"/>
  <c r="E4" i="4" s="1"/>
  <c r="F5" i="11"/>
  <c r="J6" i="11"/>
  <c r="K6" i="11" s="1"/>
  <c r="G6" i="11"/>
  <c r="G29" i="9"/>
  <c r="G30" i="9" s="1"/>
  <c r="C17" i="8"/>
  <c r="F45" i="18"/>
  <c r="F43" i="18" s="1"/>
  <c r="D43" i="18"/>
  <c r="D42" i="18" s="1"/>
  <c r="F42" i="18" s="1"/>
  <c r="H8" i="16"/>
  <c r="H5" i="16" s="1"/>
  <c r="J112" i="16"/>
  <c r="J8" i="16" s="1"/>
  <c r="J5" i="16" s="1"/>
  <c r="G31" i="11" l="1"/>
  <c r="G43" i="11"/>
  <c r="G17" i="11"/>
  <c r="G7" i="11"/>
  <c r="G29" i="11"/>
  <c r="J5" i="11"/>
  <c r="K5" i="11" s="1"/>
  <c r="G13" i="11"/>
  <c r="G42" i="11"/>
  <c r="G38" i="11"/>
  <c r="G30" i="11"/>
  <c r="G25" i="11"/>
  <c r="G32" i="11"/>
  <c r="G9" i="11"/>
  <c r="G35" i="11"/>
  <c r="G23" i="11"/>
  <c r="G8" i="11"/>
  <c r="G44" i="11"/>
  <c r="G5" i="11"/>
  <c r="G19" i="11"/>
  <c r="G34" i="11"/>
  <c r="G52" i="11"/>
  <c r="G39" i="11"/>
  <c r="G28" i="11"/>
  <c r="G51" i="11"/>
  <c r="G33" i="11"/>
  <c r="G36" i="11"/>
  <c r="G24" i="11"/>
  <c r="G16" i="11"/>
  <c r="G20" i="11"/>
  <c r="G10" i="11"/>
  <c r="G21" i="11"/>
  <c r="G14" i="11"/>
  <c r="G40" i="11"/>
  <c r="G50" i="11"/>
  <c r="G12" i="11"/>
  <c r="G27" i="11"/>
  <c r="G41" i="11"/>
  <c r="D7" i="6"/>
  <c r="G49" i="11"/>
  <c r="G22" i="11"/>
  <c r="G46" i="11"/>
  <c r="G18" i="11"/>
  <c r="G47" i="11"/>
  <c r="G37" i="11"/>
  <c r="G45" i="11"/>
  <c r="G15" i="11"/>
  <c r="G26" i="11"/>
  <c r="G11" i="11"/>
  <c r="G48" i="11"/>
  <c r="E14" i="6"/>
  <c r="E13" i="6" s="1"/>
  <c r="C16" i="8"/>
  <c r="C31" i="8" s="1"/>
  <c r="G17" i="8"/>
  <c r="G16" i="8" s="1"/>
  <c r="G31" i="8" s="1"/>
</calcChain>
</file>

<file path=xl/sharedStrings.xml><?xml version="1.0" encoding="utf-8"?>
<sst xmlns="http://schemas.openxmlformats.org/spreadsheetml/2006/main" count="1892" uniqueCount="798">
  <si>
    <t>임원 인건비 = 원장(급여, 인상분, 제수당, 업무추진비)</t>
  </si>
  <si>
    <t>◦ 디지털 연계 흡수성소재 융복합의료산업 기반구축(산업부)</t>
  </si>
  <si>
    <t>◦ 마이크로바이옴 기반 스마트 웰에이징 기술개발(전라남도)</t>
  </si>
  <si>
    <t xml:space="preserve">   (1) 인건비(세목 간, 인건비 관련 비목간 전용 가능)</t>
  </si>
  <si>
    <t>차                       액   (A-B)</t>
  </si>
  <si>
    <t>(단위 : 토지/천㎡, 건물/㎡, 취득(처분)가액/백만원)</t>
  </si>
  <si>
    <t>◦ 살균제 대체 미생물농약·생화학농약 제품화 연구단(농림부)</t>
  </si>
  <si>
    <t>&lt;별첨 7-5&gt; 1천만원 이상 중요자산의 취득 및 처분설명서</t>
  </si>
  <si>
    <t>사업기간 : '24.11.~'26.10.
 이월구성:집행잔액 1,455천원
(사무관리비, 회의비)</t>
  </si>
  <si>
    <t>― ― ― ― ― ― ― ― ― ― ― ― ― ― ― ― ― ― ― ― ― ― ― ― ― ― ―</t>
  </si>
  <si>
    <t>◦ 자생 붉가시나무 부산물의 주름개선 복합기능성
  화장품 소재 개발 사업 (2차)</t>
  </si>
  <si>
    <t>◦ 무화과 부가가치 증진을 위한 상품 개발 및 저장
  유통 개선 연구 사업 (2차)</t>
  </si>
  <si>
    <r>
      <t>제7조(예산전용금지과목)</t>
    </r>
    <r>
      <rPr>
        <sz val="9"/>
        <color rgb="FF000000"/>
        <rFont val="새굴림"/>
        <family val="1"/>
        <charset val="129"/>
      </rPr>
      <t xml:space="preserve"> 다음에 게기하는 과목의 경비는 이사회의 의결을 거치지 않고는</t>
    </r>
  </si>
  <si>
    <t xml:space="preserve">                     (그 세부내역은 별첨 "계속비조서"와 같다.)</t>
  </si>
  <si>
    <t>제4조(자본적수입 및 지출) 자본적수입 및 지출의 예정액은 다음과 같이 정한다.</t>
  </si>
  <si>
    <t xml:space="preserve">사업기간 : '24.11.~'26.10.
 이월구성 : 집행잔액 17,266천원
(기간제근로자보수, 사무관리비,국내여비)
</t>
  </si>
  <si>
    <t>사업기간: ‘23.01~’27.12.
이월구성: 집행잔액 56,960천원
(기간제보수, 퇴직급여, 회의비, 국내여비, 국외여비)</t>
  </si>
  <si>
    <t xml:space="preserve">                                         (그 세부내역은 별첨 "중요자산취득 및 처분조서"와 같다.)</t>
  </si>
  <si>
    <r>
      <t>제8조(대행사업 경비)</t>
    </r>
    <r>
      <rPr>
        <sz val="9"/>
        <color rgb="FF000000"/>
        <rFont val="새굴림"/>
        <family val="1"/>
        <charset val="129"/>
      </rPr>
      <t xml:space="preserve"> 대행사업을 위하여 국,도,시군비로 이 출연기관에 보조하는 금액은  </t>
    </r>
  </si>
  <si>
    <t>사업기간: ‘23.01~’27.12.
- 이월구성: 집행잔액 2,943,040천원
(시설비)</t>
  </si>
  <si>
    <t>◦ 면역강화를 위한 원예 특용자원의 효능 향상과 생산     
  표준화 기술 개발 (3차)</t>
  </si>
  <si>
    <t xml:space="preserve">◦ 전남해양수산창업투자지원센터                    </t>
  </si>
  <si>
    <t>◦ 작물재배 토양환경 개선용 미생물비료 소재개발 및 제품화(농림부)</t>
  </si>
  <si>
    <t>(단위 : 원, 명, 일, 월, 시간, 회, 개, 식, 박스, ㎡)</t>
  </si>
  <si>
    <t>◦ 중소기업기술혁신개발사업 수출지향형(피부재생패치)</t>
  </si>
  <si>
    <t>◦ 23년 초임계 원료의약품생산플랫폼 구축사업(전라남도)</t>
  </si>
  <si>
    <t>◦ 23년 초임계 원료의약품생산플랫폼 구축사업(장성군)</t>
  </si>
  <si>
    <t>◦ 마이크로바이옴 기반 스마트 웰에이징 기술개발(나주시)</t>
  </si>
  <si>
    <t>◦ 생물다양성 관리기관 통합관리체계 구축 사업(환경부)</t>
  </si>
  <si>
    <t xml:space="preserve">◦ 진균류 바이오 헬스 소재 상용화 지원 사업 (3차) </t>
  </si>
  <si>
    <t>수     입     의     부      (A)</t>
  </si>
  <si>
    <t xml:space="preserve">   (2) 업무추진비(타 비목으로부터의 전용금지)</t>
  </si>
  <si>
    <t>◦ 25년 광주연구개발특구(유니콘)(AI융합지원실)</t>
  </si>
  <si>
    <t xml:space="preserve">◦ 수산가공히트상품개발비지원사업              </t>
  </si>
  <si>
    <t>2024년 산업기술국제
협력사업(귀뚜라미) 1차년도</t>
  </si>
  <si>
    <t>비     용     의     부      (B)</t>
  </si>
  <si>
    <t>◦ 소면적작물 농약직권등록 작물잔류성 시험(농진청)</t>
  </si>
  <si>
    <t>직원 = 센터장, 정규직원(운영위촉, 과제위촉 제외)</t>
  </si>
  <si>
    <t>◦ 먹노린재 포획기술 개발 및 실용화(농축산검역본부)</t>
  </si>
  <si>
    <t>◦ 복사기 임차료</t>
  </si>
  <si>
    <t>참여연구원 보수</t>
  </si>
  <si>
    <t>시설비 및 부대비</t>
  </si>
  <si>
    <t>◦ 클린룸 임대료수익</t>
  </si>
  <si>
    <t>제2항 영업외 수익</t>
  </si>
  <si>
    <t>제6항 기타자본적지출</t>
  </si>
  <si>
    <t>제1항 영업비용</t>
  </si>
  <si>
    <t>◦ 네트워크 유지보수</t>
  </si>
  <si>
    <t>과        목</t>
  </si>
  <si>
    <t>제2항 영업외비용</t>
  </si>
  <si>
    <t>401 시설비및부대비</t>
  </si>
  <si>
    <r>
      <t xml:space="preserve">제5조(계속비) </t>
    </r>
    <r>
      <rPr>
        <sz val="9"/>
        <color rgb="FF000000"/>
        <rFont val="새굴림"/>
        <family val="1"/>
        <charset val="129"/>
      </rPr>
      <t>계속비의 총액과 연할액은 다음과 같이 정한다.</t>
    </r>
  </si>
  <si>
    <r>
      <t>제6조(일시차입금)</t>
    </r>
    <r>
      <rPr>
        <sz val="9"/>
        <color rgb="FF000000"/>
        <rFont val="새굴림"/>
        <family val="1"/>
        <charset val="129"/>
      </rPr>
      <t xml:space="preserve"> 일시차입금 한도액은   0원으로 정한다.</t>
    </r>
  </si>
  <si>
    <t>계</t>
  </si>
  <si>
    <t>여비</t>
  </si>
  <si>
    <t>지출액</t>
  </si>
  <si>
    <t>국비</t>
  </si>
  <si>
    <t>사업명</t>
  </si>
  <si>
    <t>세항</t>
  </si>
  <si>
    <t>반환금</t>
  </si>
  <si>
    <t>운영비</t>
  </si>
  <si>
    <t>년도</t>
  </si>
  <si>
    <t>방재</t>
  </si>
  <si>
    <t>사채</t>
  </si>
  <si>
    <t>(B)</t>
  </si>
  <si>
    <t>이월금</t>
  </si>
  <si>
    <t>금액</t>
  </si>
  <si>
    <t>□</t>
  </si>
  <si>
    <t xml:space="preserve"> </t>
  </si>
  <si>
    <t>포상금</t>
  </si>
  <si>
    <t>시군비</t>
  </si>
  <si>
    <t>목</t>
  </si>
  <si>
    <t>종료</t>
  </si>
  <si>
    <t>세목</t>
  </si>
  <si>
    <t>관</t>
  </si>
  <si>
    <t>예산액</t>
  </si>
  <si>
    <t>건물</t>
  </si>
  <si>
    <t>해양</t>
  </si>
  <si>
    <t>세
항</t>
  </si>
  <si>
    <t>인건비</t>
  </si>
  <si>
    <t>도비</t>
  </si>
  <si>
    <t>X</t>
  </si>
  <si>
    <t>사유</t>
  </si>
  <si>
    <t>토지</t>
  </si>
  <si>
    <t>한방</t>
  </si>
  <si>
    <t>건 수</t>
  </si>
  <si>
    <t>나노</t>
  </si>
  <si>
    <t>저장품</t>
  </si>
  <si>
    <t>자본금</t>
  </si>
  <si>
    <t>증감</t>
  </si>
  <si>
    <t>보조금</t>
  </si>
  <si>
    <t>행정</t>
  </si>
  <si>
    <t>자산명</t>
  </si>
  <si>
    <t>PC</t>
  </si>
  <si>
    <t>예비비</t>
  </si>
  <si>
    <t>천원</t>
  </si>
  <si>
    <t>비고</t>
  </si>
  <si>
    <t xml:space="preserve">  </t>
  </si>
  <si>
    <t>구분</t>
  </si>
  <si>
    <t>=</t>
  </si>
  <si>
    <t>특허권</t>
  </si>
  <si>
    <t>총액</t>
  </si>
  <si>
    <t>식품</t>
  </si>
  <si>
    <t>법인세</t>
  </si>
  <si>
    <t>시설비</t>
  </si>
  <si>
    <t>방제</t>
  </si>
  <si>
    <t>처분</t>
  </si>
  <si>
    <t>평가액</t>
  </si>
  <si>
    <t>수량</t>
  </si>
  <si>
    <t>동력비</t>
  </si>
  <si>
    <t>(A)</t>
  </si>
  <si>
    <t>목적</t>
  </si>
  <si>
    <t>이월액</t>
  </si>
  <si>
    <t>사
업</t>
  </si>
  <si>
    <t>.</t>
  </si>
  <si>
    <t>부서</t>
  </si>
  <si>
    <t xml:space="preserve">󰋪 </t>
  </si>
  <si>
    <t>회의비</t>
  </si>
  <si>
    <t>대여금</t>
  </si>
  <si>
    <t>재료비</t>
  </si>
  <si>
    <t>천연</t>
  </si>
  <si>
    <t>구축물</t>
  </si>
  <si>
    <t>취득</t>
  </si>
  <si>
    <t>의약</t>
  </si>
  <si>
    <t>항</t>
  </si>
  <si>
    <t>취 득</t>
  </si>
  <si>
    <t>▶</t>
  </si>
  <si>
    <t>평가급</t>
  </si>
  <si>
    <t>전년도</t>
  </si>
  <si>
    <t>부
서</t>
  </si>
  <si>
    <t>연할액</t>
  </si>
  <si>
    <t>총계</t>
  </si>
  <si>
    <t>투자자산</t>
  </si>
  <si>
    <t>퇴직급여충당금</t>
  </si>
  <si>
    <t>회의비 계</t>
  </si>
  <si>
    <t>2024년</t>
  </si>
  <si>
    <t>수선유지비 계</t>
  </si>
  <si>
    <t>사업구분</t>
  </si>
  <si>
    <t>사업개요</t>
  </si>
  <si>
    <t>행사운영비 계</t>
  </si>
  <si>
    <t>경상경비</t>
  </si>
  <si>
    <t>기타유형자산</t>
  </si>
  <si>
    <t>02 감리비</t>
  </si>
  <si>
    <t>시군출연금수익</t>
  </si>
  <si>
    <t>(B')</t>
  </si>
  <si>
    <t>318 기부금</t>
  </si>
  <si>
    <t>보조금수익</t>
  </si>
  <si>
    <t>기타영업외수익</t>
  </si>
  <si>
    <t>미지급이월금</t>
  </si>
  <si>
    <t>(A')</t>
  </si>
  <si>
    <t>영업외수익</t>
  </si>
  <si>
    <t>◦ 주임급</t>
  </si>
  <si>
    <t>고정부채수입</t>
  </si>
  <si>
    <t>예정시기</t>
  </si>
  <si>
    <t>(A'-B')</t>
  </si>
  <si>
    <t>01 시설비</t>
  </si>
  <si>
    <t>투자자산
수입</t>
  </si>
  <si>
    <t>646-03</t>
  </si>
  <si>
    <t>◦분석관련</t>
  </si>
  <si>
    <t>◦ 급량비</t>
  </si>
  <si>
    <t>679-09</t>
  </si>
  <si>
    <t>01 포상금</t>
  </si>
  <si>
    <t>연구개발</t>
  </si>
  <si>
    <t>계속비이월금</t>
  </si>
  <si>
    <t>기업지원</t>
  </si>
  <si>
    <t>자본예산</t>
  </si>
  <si>
    <t>◦ 안전보호구</t>
  </si>
  <si>
    <t>외국차관</t>
  </si>
  <si>
    <t>예금이자수익</t>
  </si>
  <si>
    <t>◦ 임대료수익</t>
  </si>
  <si>
    <t>처분손익</t>
  </si>
  <si>
    <t>미지급금·비용</t>
  </si>
  <si>
    <t>648-02</t>
  </si>
  <si>
    <t>건설개량이월금</t>
  </si>
  <si>
    <t>671-01</t>
  </si>
  <si>
    <t>206 재료비</t>
  </si>
  <si>
    <t>당해년도</t>
  </si>
  <si>
    <t>투자자산수입</t>
  </si>
  <si>
    <t>(a-b)</t>
  </si>
  <si>
    <t>5. 지출예산</t>
  </si>
  <si>
    <t>303 포상금</t>
  </si>
  <si>
    <t>사무관리비 계</t>
  </si>
  <si>
    <t>기타보조금수익</t>
  </si>
  <si>
    <t>교육훈련비 계</t>
  </si>
  <si>
    <t>교육훈련비</t>
  </si>
  <si>
    <t>(산자부)</t>
  </si>
  <si>
    <t>복리후생비 계</t>
  </si>
  <si>
    <t>2026년중</t>
  </si>
  <si>
    <t>공기구비품</t>
  </si>
  <si>
    <t>101 인건비</t>
  </si>
  <si>
    <t>국외업무여비</t>
  </si>
  <si>
    <t>218 평가급</t>
  </si>
  <si>
    <t xml:space="preserve">◦ 수질검사 </t>
  </si>
  <si>
    <t>215 동력비</t>
  </si>
  <si>
    <t>◦ 노트북</t>
  </si>
  <si>
    <t>174-03</t>
  </si>
  <si>
    <t>기계장치</t>
  </si>
  <si>
    <t>시험연구비</t>
  </si>
  <si>
    <t>일반재료비 계</t>
  </si>
  <si>
    <t>(산림청)</t>
  </si>
  <si>
    <t>646-02</t>
  </si>
  <si>
    <t>시험연구비 계</t>
  </si>
  <si>
    <t>위탁관리비</t>
  </si>
  <si>
    <t>국내여비 계</t>
  </si>
  <si>
    <t>651-01</t>
  </si>
  <si>
    <t>◦ 건축공사비</t>
  </si>
  <si>
    <t>공공운영비 계</t>
  </si>
  <si>
    <t>생산지원</t>
  </si>
  <si>
    <t>기술료 수익</t>
  </si>
  <si>
    <t>합   계</t>
  </si>
  <si>
    <t>소프트웨어</t>
  </si>
  <si>
    <t>위탁관리비 계</t>
  </si>
  <si>
    <t>차량운반구</t>
  </si>
  <si>
    <t>233 건물</t>
  </si>
  <si>
    <t>14 회의비</t>
  </si>
  <si>
    <t>2. 예산총칙</t>
  </si>
  <si>
    <t>(처 분)</t>
  </si>
  <si>
    <t>변경(b)</t>
  </si>
  <si>
    <t>영
업
수
익</t>
  </si>
  <si>
    <t>간접관리비수익</t>
  </si>
  <si>
    <t>기존(a)</t>
  </si>
  <si>
    <t>연구용역수익</t>
  </si>
  <si>
    <t>623-02</t>
  </si>
  <si>
    <t>지출
잔액</t>
  </si>
  <si>
    <t>(전라남도)</t>
  </si>
  <si>
    <t>(농진청)</t>
  </si>
  <si>
    <t>증     감</t>
  </si>
  <si>
    <t>자산취득비</t>
  </si>
  <si>
    <t>01 국내여비</t>
  </si>
  <si>
    <t>◦ 책임급</t>
  </si>
  <si>
    <t>176-01</t>
  </si>
  <si>
    <t>사무관리비</t>
  </si>
  <si>
    <t>(완도군)</t>
  </si>
  <si>
    <t>처분계획</t>
  </si>
  <si>
    <t>202 여비</t>
  </si>
  <si>
    <t>경영기획실</t>
  </si>
  <si>
    <t>영업수입 계</t>
  </si>
  <si>
    <t>(보통재산)</t>
  </si>
  <si>
    <t>국내여비</t>
  </si>
  <si>
    <t>예산과목</t>
  </si>
  <si>
    <t>처분액(b)</t>
  </si>
  <si>
    <t>직접관리비수익</t>
  </si>
  <si>
    <t>취득계획</t>
  </si>
  <si>
    <t>(장흥군)</t>
  </si>
  <si>
    <t>(목포시)</t>
  </si>
  <si>
    <t>관리사업수익</t>
  </si>
  <si>
    <t>◦ 선임급</t>
  </si>
  <si>
    <t>3.보조금수익</t>
  </si>
  <si>
    <t>자 산
종 별</t>
  </si>
  <si>
    <t>622-01</t>
  </si>
  <si>
    <t>사업비용 총계</t>
  </si>
  <si>
    <t>제4항 자본금</t>
  </si>
  <si>
    <t>2.대행사업</t>
  </si>
  <si>
    <t>업무추진비</t>
  </si>
  <si>
    <t>181-01</t>
  </si>
  <si>
    <t>(중기부)</t>
  </si>
  <si>
    <t>자본적수입</t>
  </si>
  <si>
    <t>◦초자류 등</t>
  </si>
  <si>
    <t>5. 자본예산</t>
  </si>
  <si>
    <t>자산취득비 계</t>
  </si>
  <si>
    <t>퇴직급여</t>
  </si>
  <si>
    <t>대행사업</t>
  </si>
  <si>
    <t>(해수부)</t>
  </si>
  <si>
    <t>623-01</t>
  </si>
  <si>
    <t>장부가액(a)</t>
  </si>
  <si>
    <t>수입 총계</t>
  </si>
  <si>
    <t>총
사업
비</t>
  </si>
  <si>
    <t>임대료수익</t>
  </si>
  <si>
    <t>◦ 사무용품비</t>
  </si>
  <si>
    <t>수     량</t>
  </si>
  <si>
    <t>전전년도까지</t>
  </si>
  <si>
    <t>예  산  액</t>
  </si>
  <si>
    <t>801 예비비</t>
  </si>
  <si>
    <t>차년도
예산액</t>
  </si>
  <si>
    <t>증     감</t>
  </si>
  <si>
    <t>순세계잉여금</t>
  </si>
  <si>
    <t>◦ 연구수당</t>
  </si>
  <si>
    <t>이월내용</t>
  </si>
  <si>
    <t>종     류</t>
  </si>
  <si>
    <t>7.자본잉여금</t>
  </si>
  <si>
    <t>나노센터</t>
  </si>
  <si>
    <t>금    액</t>
  </si>
  <si>
    <t>기타자본적지출</t>
  </si>
  <si>
    <t>천원이다</t>
  </si>
  <si>
    <t>5.이자수익</t>
  </si>
  <si>
    <t>영업외
수익</t>
  </si>
  <si>
    <t>구    분</t>
  </si>
  <si>
    <t>수선유지교체비</t>
  </si>
  <si>
    <t>전년도본예산액</t>
  </si>
  <si>
    <t>영업외수입 계</t>
  </si>
  <si>
    <t>유동부채상환</t>
  </si>
  <si>
    <t>금   액</t>
  </si>
  <si>
    <t>(A - B)</t>
  </si>
  <si>
    <t>  ㅇ 총괄</t>
  </si>
  <si>
    <t>인력관리 계획</t>
  </si>
  <si>
    <t>지출 총계</t>
  </si>
  <si>
    <t>직무수행경비</t>
  </si>
  <si>
    <t>사업비용</t>
  </si>
  <si>
    <t>사업수입</t>
  </si>
  <si>
    <t>구     분</t>
  </si>
  <si>
    <t>당년도
예산액</t>
  </si>
  <si>
    <t>800 예비비</t>
  </si>
  <si>
    <t>영업비용</t>
  </si>
  <si>
    <t>4. 사업예산</t>
  </si>
  <si>
    <t>한컴-웹기안기</t>
  </si>
  <si>
    <t>1.관리사업</t>
  </si>
  <si>
    <t>4.출연금수익</t>
  </si>
  <si>
    <t>1. 취득자산</t>
  </si>
  <si>
    <t>위촉직(현원)</t>
  </si>
  <si>
    <t>일반운영비</t>
  </si>
  <si>
    <t>1)국고보조금</t>
  </si>
  <si>
    <t>금    액</t>
  </si>
  <si>
    <t>기타특별이익</t>
  </si>
  <si>
    <t>출연금수익</t>
  </si>
  <si>
    <t>자본잉여금수입</t>
  </si>
  <si>
    <t>자본적지출</t>
  </si>
  <si>
    <t>본예산액</t>
  </si>
  <si>
    <t>국고보조금</t>
  </si>
  <si>
    <t>법인세등</t>
  </si>
  <si>
    <t>751 반환금</t>
  </si>
  <si>
    <t>사채상환금</t>
  </si>
  <si>
    <t>무형자산</t>
  </si>
  <si>
    <t>일반보상금</t>
  </si>
  <si>
    <t>유형자산</t>
  </si>
  <si>
    <t>특별이익</t>
  </si>
  <si>
    <t>고정자산부채</t>
  </si>
  <si>
    <t>동력비 계</t>
  </si>
  <si>
    <t>특별손실</t>
  </si>
  <si>
    <t>영업외비용</t>
  </si>
  <si>
    <t>관서업무비</t>
  </si>
  <si>
    <t>기타영업외비용</t>
  </si>
  <si>
    <t>장기차입금상환</t>
  </si>
  <si>
    <t>~ 2023년</t>
  </si>
  <si>
    <t>기타자산취득</t>
  </si>
  <si>
    <t>제7항 예비비</t>
  </si>
  <si>
    <t>기타자본적수입</t>
  </si>
  <si>
    <t>금     액</t>
  </si>
  <si>
    <t>연금부담금 등</t>
  </si>
  <si>
    <t>정산반환금</t>
  </si>
  <si>
    <t>정규직(정원)</t>
  </si>
  <si>
    <t>유동부채상환금</t>
  </si>
  <si>
    <t>영업수익</t>
  </si>
  <si>
    <t>전년도이월예산</t>
  </si>
  <si>
    <t>수탁자산보조금</t>
  </si>
  <si>
    <t>일반관리비</t>
  </si>
  <si>
    <t>(A-B)</t>
  </si>
  <si>
    <t>자치단체보조금</t>
  </si>
  <si>
    <t>4. 수입예산</t>
  </si>
  <si>
    <t>특허권 등</t>
  </si>
  <si>
    <t>전년도이월금</t>
  </si>
  <si>
    <t>기타특별손실</t>
  </si>
  <si>
    <t>공구 비품</t>
  </si>
  <si>
    <t>2025년</t>
  </si>
  <si>
    <t>이자수익</t>
  </si>
  <si>
    <t>인원수(명)</t>
  </si>
  <si>
    <t>대행사업수익</t>
  </si>
  <si>
    <t>증    감</t>
  </si>
  <si>
    <t>민간사업지원금</t>
  </si>
  <si>
    <t>기타투자자산</t>
  </si>
  <si>
    <t>선수금상환</t>
  </si>
  <si>
    <t>고정부채상환금</t>
  </si>
  <si>
    <t>자치단체등이전</t>
  </si>
  <si>
    <t>연구개발비</t>
  </si>
  <si>
    <t>재고자산</t>
  </si>
  <si>
    <t>정보화시스템</t>
  </si>
  <si>
    <t>01 보수</t>
  </si>
  <si>
    <t>특 별 이 익</t>
  </si>
  <si>
    <t>1. 재원
  - 기반구축 부가세
  - 흑자 시 관리사업수익 3%
2. 용도
  - 기관 사업개편 등 재투자
  - 인건비 유보자금(3개월)</t>
  </si>
  <si>
    <r>
      <t>&lt;</t>
    </r>
    <r>
      <rPr>
        <sz val="11"/>
        <color rgb="FF000000"/>
        <rFont val="새굴림"/>
        <family val="1"/>
        <charset val="129"/>
      </rPr>
      <t xml:space="preserve"> 별 첨 &gt;</t>
    </r>
  </si>
  <si>
    <t>― ― ― ― ― ― ― ― ― ― ― ― ― ― ― ― ― ― ― ― ― ―</t>
  </si>
  <si>
    <r>
      <t>제9조(중요자산취득 및 처분)</t>
    </r>
    <r>
      <rPr>
        <sz val="9"/>
        <color rgb="FF000000"/>
        <rFont val="새굴림"/>
        <family val="1"/>
        <charset val="129"/>
      </rPr>
      <t xml:space="preserve"> 중요자산의 취득 및 처분은 다음과 같이 한다.</t>
    </r>
  </si>
  <si>
    <t xml:space="preserve">◦ 해양치유자원의 관리 및 활용기술 개발                    </t>
  </si>
  <si>
    <t>◦ 24년 국제공동기술개발사업(귀뚜라미) 2차년도(산업부)(AI융합지원실)</t>
  </si>
  <si>
    <r>
      <t xml:space="preserve">제1조 (총칙) </t>
    </r>
    <r>
      <rPr>
        <sz val="9"/>
        <color rgb="FF000000"/>
        <rFont val="새굴림"/>
        <family val="1"/>
        <charset val="129"/>
      </rPr>
      <t>2025년도 전남바이오진흥원의 예산은 다음과 같이 정한다.</t>
    </r>
  </si>
  <si>
    <r>
      <t xml:space="preserve">제3조(수익적사업 및 지출) </t>
    </r>
    <r>
      <rPr>
        <sz val="9"/>
        <color rgb="FF000000"/>
        <rFont val="새굴림"/>
        <family val="1"/>
        <charset val="129"/>
      </rPr>
      <t>수익적사업 및 지출의 예정액은 다음과 같다.</t>
    </r>
  </si>
  <si>
    <t>◦ 작물 바이러스 매개충 방제제 및 유도저항성 소재 활용 기술 개발(중기부)</t>
  </si>
  <si>
    <r>
      <t xml:space="preserve">2024년 산업기술국제
협력사업(귀뚜라미) </t>
    </r>
    <r>
      <rPr>
        <sz val="9"/>
        <color rgb="FFFF0000"/>
        <rFont val="새굴림"/>
        <family val="1"/>
        <charset val="129"/>
      </rPr>
      <t>2차년도</t>
    </r>
  </si>
  <si>
    <r>
      <t xml:space="preserve">제2조 (업무의 예정량) </t>
    </r>
    <r>
      <rPr>
        <sz val="9"/>
        <color rgb="FF000000"/>
        <rFont val="새굴림"/>
        <family val="1"/>
        <charset val="129"/>
      </rPr>
      <t>업무의 예정량은 다음과 같다.</t>
    </r>
  </si>
  <si>
    <t>― ― ― ― ― ― ― ― ― ― ― ― ― ― ― ― ― ― ― ― ― ― ― ― ― ― ― ― ― ― ― ―</t>
  </si>
  <si>
    <t>◦ 각종 수수료(협회비, 안전점검)</t>
  </si>
  <si>
    <t xml:space="preserve">◦ 냉ㆍ난방기(세척) 유지보수 </t>
  </si>
  <si>
    <t>◦ 건축물(벽체, 타일) 보수</t>
  </si>
  <si>
    <t>◦ 건물,화재,승강기,가스 보험료</t>
  </si>
  <si>
    <t>◦ 센터주변 수목 전정 및 방제</t>
  </si>
  <si>
    <t>◦ 초임계 유체 크로마토그래피 외</t>
  </si>
  <si>
    <t>◦ 소방장비 구매(소화기 감지기)</t>
  </si>
  <si>
    <t>◦ 입주기업간담회 전문가 참석수당</t>
  </si>
  <si>
    <t>2025 디딤돌과제(디아노잔틴)</t>
  </si>
  <si>
    <t>◦ 창업보육센터 항온항습기 유지보수</t>
  </si>
  <si>
    <t>◦ 창업보육센터 전기설비 보수</t>
  </si>
  <si>
    <t>◦ 재산세, 토지세 등(제세공과금)</t>
  </si>
  <si>
    <t>◦ 실험실 안전관리 비품 구입 등</t>
  </si>
  <si>
    <t>◦ 초임계유체 이산화탄소 충전비</t>
  </si>
  <si>
    <t>◦ 센터 주변 제초작업 및 수목관리</t>
  </si>
  <si>
    <t>◦ 청소용품 및 공구 등 구매</t>
  </si>
  <si>
    <t>◦ 기타 제잡비(명함, 사원증) 등</t>
  </si>
  <si>
    <t>176-01 수탁자산보조금수입</t>
  </si>
  <si>
    <t xml:space="preserve">   (3) 시설비 및 부대비</t>
  </si>
  <si>
    <t>◦ 장성군 바이오산업 운영사업비</t>
  </si>
  <si>
    <t>&lt;별첨 7-1&gt; 임직원 등의 인건비</t>
  </si>
  <si>
    <t>◦ 시험생산4동 에폭시 유지보수</t>
  </si>
  <si>
    <t>174-03 자치단체보조금수입</t>
  </si>
  <si>
    <t>◦ 본관동 옥상 및 외벽 방수</t>
  </si>
  <si>
    <t>181-01 순세계잉여금(보통재산)</t>
  </si>
  <si>
    <t>◦ 특수건강검진(유해화학물질취급자)</t>
  </si>
  <si>
    <t>◦ 24년 연구기반활용사업(중기부)</t>
  </si>
  <si>
    <t>◦ 센터 운영(홍보)관련 업무추진</t>
  </si>
  <si>
    <t>&lt;별첨7-3&gt; 예산 이월 총괄표</t>
  </si>
  <si>
    <t>&lt;별첨 7-4&gt; 예산 이월 설명서</t>
  </si>
  <si>
    <t>648-02 자치단체출연금수익</t>
  </si>
  <si>
    <t>초임계의약품생산플랫폼구축(3차)</t>
  </si>
  <si>
    <t>122-02 차량운반구매각수입</t>
  </si>
  <si>
    <t>2025 광주연구개발특구(유니콘1)</t>
  </si>
  <si>
    <t>자    본    예    산</t>
  </si>
  <si>
    <t>전남생물산업지원사업
성과활용사업</t>
  </si>
  <si>
    <t>디지털연계 흡수성소재 기반구축</t>
  </si>
  <si>
    <t>과               목</t>
  </si>
  <si>
    <t>646-02 자치단체보조금수익</t>
  </si>
  <si>
    <t>◦ 참여연구원 업무관련 국내여비</t>
  </si>
  <si>
    <t>합               계</t>
  </si>
  <si>
    <t>전남생물산업지원사업 성과활용사업</t>
  </si>
  <si>
    <t>◦ 창업보육센터 건물 유지보수</t>
  </si>
  <si>
    <t>구               분</t>
  </si>
  <si>
    <t>◦ 초임계 생산장비 안전검사비용</t>
  </si>
  <si>
    <t>산     출     기    초</t>
  </si>
  <si>
    <t>3-5. 지출예산 성질별 총괄표</t>
  </si>
  <si>
    <t>3-4. 수입예산 성질별 총괄표</t>
  </si>
  <si>
    <t>◦ HPLC급 고순도 유기용매</t>
  </si>
  <si>
    <t>목적(보조금)사업비용( B )</t>
  </si>
  <si>
    <t>합              계</t>
  </si>
  <si>
    <t>◦ 작업환경측정(노출도 평가)</t>
  </si>
  <si>
    <t>◦ HPLC등 분리용 컬럼 등</t>
  </si>
  <si>
    <t>구                 분</t>
  </si>
  <si>
    <t>HMR 실증실용화 지원센터 건물 외</t>
  </si>
  <si>
    <t>◦ 정수기, 커피머신, 비데 렌탈료</t>
  </si>
  <si>
    <t>122-09 기타유형자산매각수입</t>
  </si>
  <si>
    <t>자    금    예    산</t>
  </si>
  <si>
    <t>&lt;별첨 7-2&gt; 계속비 설명서</t>
  </si>
  <si>
    <t>122-03 공기구비품매각수입</t>
  </si>
  <si>
    <t>◦ 세미나(워크숍) 및 학술회참석</t>
  </si>
  <si>
    <t>계    정    과    목</t>
  </si>
  <si>
    <t>◦ 마을로 플러스 프로젝트(행안부)</t>
  </si>
  <si>
    <r>
      <t>  ㅇ 중요자산</t>
    </r>
    <r>
      <rPr>
        <sz val="11"/>
        <color rgb="FF000000"/>
        <rFont val="새굴림"/>
        <family val="1"/>
        <charset val="129"/>
      </rPr>
      <t xml:space="preserve"> 취득 및 처분조서</t>
    </r>
  </si>
  <si>
    <r>
      <t>  ㅇ 외부자금</t>
    </r>
    <r>
      <rPr>
        <sz val="11"/>
        <color rgb="FF000000"/>
        <rFont val="새굴림"/>
        <family val="1"/>
        <charset val="129"/>
      </rPr>
      <t xml:space="preserve"> 차입 및 상환조서</t>
    </r>
  </si>
  <si>
    <t>사   업   예   산</t>
  </si>
  <si>
    <t>구             분</t>
  </si>
  <si>
    <t>622-02 관리사업부대수익</t>
  </si>
  <si>
    <t>제2항 고정자산매각수입</t>
  </si>
  <si>
    <t>구          분</t>
  </si>
  <si>
    <t>합          계</t>
  </si>
  <si>
    <t>  ㅇ 사업예산 총괄표</t>
  </si>
  <si>
    <t>◦ 시군구연고산업육성사업</t>
  </si>
  <si>
    <t>제3항 기타(무형)자산</t>
  </si>
  <si>
    <t>진흥원 장비사업원가(D)</t>
  </si>
  <si>
    <t>3-3. 자본예산총괄표</t>
  </si>
  <si>
    <t>목             차</t>
  </si>
  <si>
    <t xml:space="preserve">합        계  </t>
  </si>
  <si>
    <t>623-02 간접관리비수익</t>
  </si>
  <si>
    <t>671-01 예금이자수익</t>
  </si>
  <si>
    <t>수 입 자 금    (A)</t>
  </si>
  <si>
    <t>646-01 국비보조금수익</t>
  </si>
  <si>
    <t>646-03 기타보조금수익</t>
  </si>
  <si>
    <t>민간사업지원 및 위탁금</t>
  </si>
  <si>
    <t>차  인 (A"-B")</t>
  </si>
  <si>
    <t>648-01 정부출연금수익</t>
  </si>
  <si>
    <t>합             계</t>
  </si>
  <si>
    <t>623-01 직접관리비수익</t>
  </si>
  <si>
    <t>625-01 국고출연금</t>
  </si>
  <si>
    <t>진흥원 임대사업원가(F)</t>
  </si>
  <si>
    <t>174-02 국고보조금수입</t>
  </si>
  <si>
    <t>679-09 기타영업외수익</t>
  </si>
  <si>
    <t>진흥원 일반관리비용(C)</t>
  </si>
  <si>
    <t xml:space="preserve">
        증감률</t>
  </si>
  <si>
    <t>계   정   과   목</t>
  </si>
  <si>
    <t>나노 각종 협의회 행사 개최</t>
  </si>
  <si>
    <t>제6항 기타자본잉여금수입</t>
  </si>
  <si>
    <t>25년 연구기반활용사업</t>
  </si>
  <si>
    <t>320 기타협의체등부담금</t>
  </si>
  <si>
    <t>648-03-기타출연금수익</t>
  </si>
  <si>
    <t>122-01 기계장치매각수입</t>
  </si>
  <si>
    <t>176 수탁자산보조금수입</t>
  </si>
  <si>
    <t>622-01 관리사업수익</t>
  </si>
  <si>
    <t>3-2. 사업예산총괄표</t>
  </si>
  <si>
    <t>2024년 말
기초보유액</t>
  </si>
  <si>
    <t>차  인 (A'-B')</t>
  </si>
  <si>
    <t>진흥원 대행사업비용( A )</t>
  </si>
  <si>
    <t xml:space="preserve">
        구성비</t>
  </si>
  <si>
    <t>직원
(위촉직원 제외)</t>
  </si>
  <si>
    <t>651-01 연구용역수익</t>
  </si>
  <si>
    <t>진흥원 분석사업원가(E)</t>
  </si>
  <si>
    <t>[보통재산(운영재산)]</t>
  </si>
  <si>
    <t>진흥원 목적사업비용(B)</t>
  </si>
  <si>
    <t>운영사업(보조금사업 포함)</t>
  </si>
  <si>
    <t>◦ 안전관리기술지도 수수료</t>
  </si>
  <si>
    <t>예      비      비</t>
  </si>
  <si>
    <t>◦ 엘리베이터 안전점검</t>
  </si>
  <si>
    <t>◦ 사무실 비품 구입 등</t>
  </si>
  <si>
    <t>보통재산
(세출미반영)</t>
  </si>
  <si>
    <t>◦ 지정폐기물 처리비용</t>
  </si>
  <si>
    <t>◦ 의료폐기물 처리비용</t>
  </si>
  <si>
    <t>◦마이크로캡슐 평가 관련</t>
  </si>
  <si>
    <t>2025년 기말
보유예상액</t>
  </si>
  <si>
    <t>7. 별  첨  자  료</t>
  </si>
  <si>
    <t>650-01 출연금 이자수익</t>
  </si>
  <si>
    <t>◦ 시생산장비 유지보수</t>
  </si>
  <si>
    <t>지  출  자  금  (B)</t>
  </si>
  <si>
    <t>◦ 창업보육 매니저 교육비</t>
  </si>
  <si>
    <t>보통재산 재원 및 용도</t>
  </si>
  <si>
    <t>◦ 입주심의위원회 회의비</t>
  </si>
  <si>
    <t>◦ 주름개선 활성 평가 관련</t>
  </si>
  <si>
    <t>◦ 나노센터 기술이전 기술료</t>
  </si>
  <si>
    <t>◦ 입주기업간담회 회의비</t>
  </si>
  <si>
    <t>◦ 창업보육 센터장 교육비</t>
  </si>
  <si>
    <t>◦ 엘리베이터 정기보수</t>
  </si>
  <si>
    <t>◦ 직원 작업복 및 안전화</t>
  </si>
  <si>
    <t>◦ 유틸리티 장비 유지보수비</t>
  </si>
  <si>
    <t>◦ 입주심의위원회 참석수당</t>
  </si>
  <si>
    <t>연차별 투자현황 및 투자계획</t>
  </si>
  <si>
    <t>◦ 고차가공장비 활용수익</t>
  </si>
  <si>
    <t>2025년 증감액
(예정)</t>
  </si>
  <si>
    <t>◦ 연구실 정기/정밀정검</t>
  </si>
  <si>
    <t>2025년도 본예산(안)</t>
  </si>
  <si>
    <t>◦ 직원 역량강화 교육비</t>
  </si>
  <si>
    <t>◦ 노후자산교체(사무PC등)</t>
  </si>
  <si>
    <t>◦ 공문서 및 화물택배 요금</t>
  </si>
  <si>
    <t>초임계 의약품 플랫폼 구축</t>
  </si>
  <si>
    <t>나노센터-AI융합지원실</t>
  </si>
  <si>
    <t>◦ 단백질 분리 관련 소모품</t>
  </si>
  <si>
    <t>◦ 전화 및 인터넷사용요금</t>
  </si>
  <si>
    <t>초임계 유체 그래마토그래피</t>
  </si>
  <si>
    <t>412 정보화시스템취득비</t>
  </si>
  <si>
    <t>◦ 자문료 및 회의 참석수당</t>
  </si>
  <si>
    <t>◦ 창업보육센터 연회비</t>
  </si>
  <si>
    <t>722 대행사업비</t>
  </si>
  <si>
    <t>236 차량운반구</t>
  </si>
  <si>
    <t>02 공공운영비</t>
  </si>
  <si>
    <t>임 차 보 증 금</t>
  </si>
  <si>
    <t>생산지원 지게차</t>
  </si>
  <si>
    <t>623 대행사업수익</t>
  </si>
  <si>
    <t>700 사업비용</t>
  </si>
  <si>
    <t>610 영업수익</t>
  </si>
  <si>
    <t>자치단체보조금수입</t>
  </si>
  <si>
    <t>1인당 평균임금</t>
  </si>
  <si>
    <t>230 유형자산취득</t>
  </si>
  <si>
    <t>수  입  총  계</t>
  </si>
  <si>
    <t>고정자산
매각수입</t>
  </si>
  <si>
    <t>2026년 이후</t>
  </si>
  <si>
    <t>200 자본적지출</t>
  </si>
  <si>
    <t>03 시험연구비</t>
  </si>
  <si>
    <t>분석사업원가(E)</t>
  </si>
  <si>
    <t>임대사업원가(F)</t>
  </si>
  <si>
    <t>03 행사운영비</t>
  </si>
  <si>
    <t>201 일반운영비</t>
  </si>
  <si>
    <t>650 출연금이자수익</t>
  </si>
  <si>
    <t>이월금(계속비포함)</t>
  </si>
  <si>
    <t>06 시설이용반환금</t>
  </si>
  <si>
    <t>301 일반보상금</t>
  </si>
  <si>
    <t xml:space="preserve">
기간제근로자보수
</t>
  </si>
  <si>
    <t>03 대행사업비반환금</t>
  </si>
  <si>
    <t>생물의약연구센터</t>
  </si>
  <si>
    <t>인    건    비</t>
  </si>
  <si>
    <t>실험실 책상 등 비품</t>
  </si>
  <si>
    <t>자치단체출연금수익</t>
  </si>
  <si>
    <t>16 광고선전비</t>
  </si>
  <si>
    <t>648 출연금수익</t>
  </si>
  <si>
    <t>해양바이오연구센터</t>
  </si>
  <si>
    <t>식품산업연구센터</t>
  </si>
  <si>
    <t>천연자원연구센터</t>
  </si>
  <si>
    <t>전기손익수정손실</t>
  </si>
  <si>
    <t>나노바이오연구센터</t>
  </si>
  <si>
    <t>친환경농생명연구센터</t>
  </si>
  <si>
    <t>유형자산처분수익</t>
  </si>
  <si>
    <t>771 기타영업외비용</t>
  </si>
  <si>
    <t>770 영업외비용</t>
  </si>
  <si>
    <t>법  인  세  등</t>
  </si>
  <si>
    <t>13 기타보상금</t>
  </si>
  <si>
    <t>수  입  예  산</t>
  </si>
  <si>
    <t>임원
(비상임 제외)</t>
  </si>
  <si>
    <t>◦ 임대관리수익</t>
  </si>
  <si>
    <t>779 기타영업외비용</t>
  </si>
  <si>
    <t>기타고정부채상환금</t>
  </si>
  <si>
    <t>정보화시스템취득비</t>
  </si>
  <si>
    <t xml:space="preserve">  (2) 지출자금</t>
  </si>
  <si>
    <t>지 출 계 (B")</t>
  </si>
  <si>
    <t xml:space="preserve">
(단위 : 천원)</t>
  </si>
  <si>
    <t>구       분</t>
  </si>
  <si>
    <t>인건비, 퇴직급여 등</t>
  </si>
  <si>
    <t>지 출 계 (B)</t>
  </si>
  <si>
    <t>120 유형자산처분</t>
  </si>
  <si>
    <t>122 물품매각수입</t>
  </si>
  <si>
    <t>예   비  비</t>
  </si>
  <si>
    <t>차   액 (A-B)</t>
  </si>
  <si>
    <t>전기손익수정이익</t>
  </si>
  <si>
    <t>합       계</t>
  </si>
  <si>
    <t xml:space="preserve">03 행사운영비 </t>
  </si>
  <si>
    <t>121 재산매각수입</t>
  </si>
  <si>
    <t>지 출 계 (B')</t>
  </si>
  <si>
    <t>121-04 입목</t>
  </si>
  <si>
    <t>◦ 방사선원 누설점검</t>
  </si>
  <si>
    <t>03 시설부대비</t>
  </si>
  <si>
    <t xml:space="preserve">증      감  </t>
  </si>
  <si>
    <t>3)수탁자산보조금</t>
  </si>
  <si>
    <t>제7항 유보자금</t>
  </si>
  <si>
    <t>04 행사관련시설비</t>
  </si>
  <si>
    <t>121-03 구축물</t>
  </si>
  <si>
    <t>121-01 토지</t>
  </si>
  <si>
    <t>2)자치단체출연금수익</t>
  </si>
  <si>
    <t>04 대행사업비반환금</t>
  </si>
  <si>
    <t>제1항 영업수익</t>
  </si>
  <si>
    <t xml:space="preserve">  (1) 수입자금</t>
  </si>
  <si>
    <t>121-02 건물</t>
  </si>
  <si>
    <t>외화장기차입금상환</t>
  </si>
  <si>
    <t>증      감</t>
  </si>
  <si>
    <t>235 기계장치</t>
  </si>
  <si>
    <t>지  출  총  계</t>
  </si>
  <si>
    <t>기타장비활용수익</t>
  </si>
  <si>
    <t>651 연구용역수익</t>
  </si>
  <si>
    <t>405 자산취득비</t>
  </si>
  <si>
    <t>지자체단체출연금수익</t>
  </si>
  <si>
    <t>전년도 본예산액</t>
  </si>
  <si>
    <t>646 보조금수익</t>
  </si>
  <si>
    <t>170 자본잉여금수입</t>
  </si>
  <si>
    <t>321 민간사업지원금</t>
  </si>
  <si>
    <t>07 사업업무추진비</t>
  </si>
  <si>
    <t>15 복리후생비</t>
  </si>
  <si>
    <t>03 국외업무여비</t>
  </si>
  <si>
    <t>203 업무추진비</t>
  </si>
  <si>
    <t>진흥원 수입 총계</t>
  </si>
  <si>
    <t>02 전산개발비</t>
  </si>
  <si>
    <t>754 일반관리비</t>
  </si>
  <si>
    <t>차차년
도이후
예산액</t>
  </si>
  <si>
    <t>대행사업비용( A )</t>
  </si>
  <si>
    <t>자치단체보조금수익</t>
  </si>
  <si>
    <t>(해수부, 산림청)</t>
  </si>
  <si>
    <t>전년도
본예산액</t>
  </si>
  <si>
    <t>213 교육훈련비</t>
  </si>
  <si>
    <t>174 보조금수입</t>
  </si>
  <si>
    <t>증감
(b-a)</t>
  </si>
  <si>
    <t>100 자본적 수입</t>
  </si>
  <si>
    <t>207 연구개발비</t>
  </si>
  <si>
    <t>(단위 : 천원)</t>
  </si>
  <si>
    <t>622 관리사업수익</t>
  </si>
  <si>
    <t>수탁자산보조금수입</t>
  </si>
  <si>
    <t>600 사업수익</t>
  </si>
  <si>
    <t>710 영업비용</t>
  </si>
  <si>
    <t>270 유동부채상환</t>
  </si>
  <si>
    <t>기타(민간 등)</t>
  </si>
  <si>
    <t>250 기타자산취득</t>
  </si>
  <si>
    <t>607 선수금상환</t>
  </si>
  <si>
    <t>비      고</t>
  </si>
  <si>
    <t>01 자산취득비</t>
  </si>
  <si>
    <t>01 사무관리비</t>
  </si>
  <si>
    <t>기간제근로자보수</t>
  </si>
  <si>
    <t>◦ 전남생물산업진흥회 정기총회 및 
  임원회의, 분과 협의회 운영지원
◦ 성과모니터링 및 성과관리시스템 운영
◦ 기업지원, 세미나 및 워크숍 개최
◦ 기업 전시회 참가지원</t>
  </si>
  <si>
    <t>◦ 위촉연구원(원급)</t>
  </si>
  <si>
    <t>◦ 각종 회의참석</t>
  </si>
  <si>
    <t>◦ 보고서 인쇄비 등</t>
  </si>
  <si>
    <t>◦ 참여인력 연구수당</t>
  </si>
  <si>
    <t>◦ 지게차 안전교육</t>
  </si>
  <si>
    <t>◦ 사무용품 등</t>
  </si>
  <si>
    <t>고정자산매각수입</t>
  </si>
  <si>
    <t>◦ 오수정화조 청소</t>
  </si>
  <si>
    <t>◦ 소방시설안전점검</t>
  </si>
  <si>
    <t>◦ 실험실폐수위탁처리</t>
  </si>
  <si>
    <t>사업기간 미도래</t>
  </si>
  <si>
    <t>◦ 사업관련 회의비</t>
  </si>
  <si>
    <t>◦ 전화 통신유지보수</t>
  </si>
  <si>
    <t>◦ 복사용지 구매</t>
  </si>
  <si>
    <t>◦ 물탱크 청소</t>
  </si>
  <si>
    <t>◦ 활성평가용 재료</t>
  </si>
  <si>
    <t>10 행사실비보상금</t>
  </si>
  <si>
    <t>차  인 (A-B)</t>
  </si>
  <si>
    <t>220 위탁관리비</t>
  </si>
  <si>
    <t>제5항 자본잉여금수입</t>
  </si>
  <si>
    <t>기타자산(무형)자산</t>
  </si>
  <si>
    <t>수 입 계 (A")</t>
  </si>
  <si>
    <t>수 입 계 (A')</t>
  </si>
  <si>
    <t>01 정원가산업무비</t>
  </si>
  <si>
    <t>제4항 유동부채상환금</t>
  </si>
  <si>
    <t>명       칭</t>
  </si>
  <si>
    <t>670 영업외수익</t>
  </si>
  <si>
    <t>308 자치단체등이전</t>
  </si>
  <si>
    <t>05 수선유지비</t>
  </si>
  <si>
    <t>406 기타자본이전</t>
  </si>
  <si>
    <t>679 기타영업외수익</t>
  </si>
  <si>
    <t>01 연구용역비</t>
  </si>
  <si>
    <t>01 직급보조비</t>
  </si>
  <si>
    <t>204 직무수행경비</t>
  </si>
  <si>
    <t>일반관리비용( C )</t>
  </si>
  <si>
    <t>11 민간위탁금</t>
  </si>
  <si>
    <t>253 소프트웨어</t>
  </si>
  <si>
    <t>107 퇴직급여</t>
  </si>
  <si>
    <t>02 부서업무비</t>
  </si>
  <si>
    <t>671 이자수익</t>
  </si>
  <si>
    <t>237 공기구비품</t>
  </si>
  <si>
    <t>251 산업재산권등</t>
  </si>
  <si>
    <t>02 특정업무경비</t>
  </si>
  <si>
    <t>04 기간제보수</t>
  </si>
  <si>
    <t>◦ 연구실 안전교육</t>
  </si>
  <si>
    <t xml:space="preserve"> ◦ 학회참가비</t>
  </si>
  <si>
    <t>217 관서업무비</t>
  </si>
  <si>
    <t>◦ 기간제근로자보수</t>
  </si>
  <si>
    <t>01 일반재료비</t>
  </si>
  <si>
    <t>장비사업원가(D)</t>
  </si>
  <si>
    <t>304 연금부담금 등</t>
  </si>
  <si>
    <t>01 사회보험부담금</t>
  </si>
  <si>
    <t>◦ 업무출장여비</t>
  </si>
  <si>
    <t>214 수선유지교체비</t>
  </si>
  <si>
    <t>◦ 소방시설 유지보수</t>
  </si>
  <si>
    <t>◦ 전기시설안전점검</t>
  </si>
  <si>
    <t>◦ 공인시험 의뢰비</t>
  </si>
  <si>
    <t>04 기간제근로자보수</t>
  </si>
  <si>
    <t>  ㅇ 수익적지출</t>
  </si>
  <si>
    <t>◦표준물질 및 시약</t>
  </si>
  <si>
    <t>◦HPLC등 소모품</t>
  </si>
  <si>
    <t>  ㅇ 수익적수입</t>
  </si>
  <si>
    <t>◦ 센터 청소용역</t>
  </si>
  <si>
    <t>◦ 센터 외벽 청소</t>
  </si>
  <si>
    <t>◦ 전기사용요금</t>
  </si>
  <si>
    <t>◦ 비상발전기 유류비</t>
  </si>
  <si>
    <t>대행사업 - 사업예산</t>
  </si>
  <si>
    <t>2025년 이월액</t>
  </si>
  <si>
    <t>  ㅇ 자본적지출</t>
  </si>
  <si>
    <t>◦ 센터 보안용역비</t>
  </si>
  <si>
    <t>◦ 전기시설 유지보수</t>
  </si>
  <si>
    <t>◦ 상하수도요금</t>
  </si>
  <si>
    <t>◦ 실험실 소모품</t>
  </si>
  <si>
    <t>3. 예산총괄표</t>
  </si>
  <si>
    <t>2)자치단체보조금</t>
  </si>
  <si>
    <t>2)간접관리비수익</t>
  </si>
  <si>
    <t>  ㅇ 목별조서</t>
  </si>
  <si>
    <t>1)관리사업수익</t>
  </si>
  <si>
    <t>대행사업 - 자본예산</t>
  </si>
  <si>
    <t>  ㅇ 지출자금</t>
  </si>
  <si>
    <t>나노 업무추진 회의비</t>
  </si>
  <si>
    <t>  ㅇ 자본예산총괄표</t>
  </si>
  <si>
    <t>181 순세계잉여금</t>
  </si>
  <si>
    <t>  ㅇ 자본적수입</t>
  </si>
  <si>
    <t>1)직접관리비수익</t>
  </si>
  <si>
    <t>1. 사업운영계획</t>
  </si>
  <si>
    <t>◦ 고압가스 안전교육</t>
  </si>
  <si>
    <t>6. 자금운영계획</t>
  </si>
  <si>
    <t>2)자치단체보조금수익</t>
  </si>
  <si>
    <t>180 유보자금</t>
  </si>
  <si>
    <t>3)기타출연금수익</t>
  </si>
  <si>
    <t>금      액</t>
  </si>
  <si>
    <t>제2항 유형자산</t>
  </si>
  <si>
    <t>  ㅇ 이월비조서</t>
  </si>
  <si>
    <t>보통재산(운영재산)</t>
  </si>
  <si>
    <t>수 입 계 (A)</t>
  </si>
  <si>
    <t>1)정부출연금수익</t>
  </si>
  <si>
    <t>2)기타보조금수익</t>
  </si>
  <si>
    <t>5.연구용역수익</t>
  </si>
  <si>
    <t>2)관리사업부대수익</t>
  </si>
  <si>
    <t>3-1. 예산총괄표</t>
  </si>
  <si>
    <t>  ㅇ 계속비조서</t>
  </si>
  <si>
    <t>  ㅇ 수입자금</t>
  </si>
  <si>
    <t>증      감</t>
  </si>
  <si>
    <t>1)국비보조금수익</t>
  </si>
  <si>
    <t>자
본
적
수
입</t>
  </si>
  <si>
    <t>제1항 투자자산</t>
  </si>
  <si>
    <t>제5항 고정부채상환금</t>
  </si>
  <si>
    <t>합        계</t>
  </si>
  <si>
    <t>제3항 고정부채수입</t>
  </si>
  <si>
    <t>1)연구용역수익</t>
  </si>
  <si>
    <t>6.기타영업외수익</t>
  </si>
  <si>
    <t>◦ 마을로 플러스 프로젝트(곡성 외 7개 시군)</t>
  </si>
  <si>
    <t>지     출     의    부     (B)</t>
  </si>
  <si>
    <t xml:space="preserve">※ 예산이월조서 인건비 244,810천원 반영 </t>
  </si>
  <si>
    <t>◦ 국제협력기반수출농업경쟁력강화기술개발(농림부)</t>
  </si>
  <si>
    <t>수     입     의     부    (A)</t>
  </si>
  <si>
    <t>초임계 원료의약품생산플랫폼구축사업(4차년도)</t>
  </si>
  <si>
    <t>◦ 바이오활성제제 글로벌 경쟁력 강화 (4차)</t>
  </si>
  <si>
    <t> ㅇ 관리사업(장비, 임대, 분석, 기술료 등)</t>
  </si>
  <si>
    <t xml:space="preserve">◦ 위생관리용품 구매(화장실 비품, 소모품) </t>
  </si>
  <si>
    <t>HMR 실증실용화 지원센터, 초임계 장치 외</t>
  </si>
  <si>
    <t>24년 국제공동기술개발사업(귀뚜라미) 3차년도</t>
  </si>
  <si>
    <t> ㅇ 전라남도 바이오 진흥을 위한 자체사업</t>
  </si>
  <si>
    <t>250 무형자산 및 기타비유동자산취득</t>
  </si>
  <si>
    <t>수탁자산보조금(기반구축 대행사업 등)수입</t>
  </si>
  <si>
    <t>◦ 마을로 플러스 프로젝트(전라남도)</t>
  </si>
  <si>
    <t>◦ 나노센터 입주기업 관련 업무추진 여비</t>
  </si>
  <si>
    <t xml:space="preserve">        그 경비를 전용할 수 없다.</t>
  </si>
  <si>
    <t>구                  분</t>
  </si>
  <si>
    <t>◦ 25년 창업성장기술개발사업(디이노잔틴)</t>
  </si>
  <si>
    <t>◦ 치료백신 임상시험 연계 지원(전라남도)</t>
  </si>
  <si>
    <t>(단위 : 원, 명, 일, 회, 식)</t>
  </si>
  <si>
    <t>건강기능식품개발지원사업(전호) 4차년도</t>
  </si>
  <si>
    <t xml:space="preserve">◦ 시설안전관리용품 구매(잡자재, 공구) </t>
  </si>
  <si>
    <t>◦ 항암면역세포치료제의 품질관리시험(민간)</t>
  </si>
  <si>
    <t>◦ 치료백신 임상시험 연계 지원(화순군)</t>
  </si>
  <si>
    <t>◦ 초임계 및 고차가공장비 유지보수비</t>
  </si>
  <si>
    <t> ㅇ 대행&amp;보조금사업(기반구축사업 포함)</t>
  </si>
  <si>
    <t>기타자본이전</t>
  </si>
  <si>
    <t>◦ 특허 출원, 등록비 및 연차료  등</t>
  </si>
  <si>
    <t>(중기부)</t>
    <phoneticPr fontId="53" type="noConversion"/>
  </si>
  <si>
    <t>(과기부)</t>
    <phoneticPr fontId="53" type="noConversion"/>
  </si>
  <si>
    <t>(중기부)</t>
    <phoneticPr fontId="53" type="noConversion"/>
  </si>
  <si>
    <t>나노센터</t>
    <phoneticPr fontId="5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</si>
</sst>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1" formatCode="_-* #,##0_-;\-* #,##0_-;_-* &quot;-&quot;_-;_-@_-"/>
    <numFmt numFmtId="176" formatCode="#,##0_);[Red]\(#,##0\)"/>
    <numFmt numFmtId="177" formatCode="#,##0,"/>
    <numFmt numFmtId="178" formatCode="#,##0_ "/>
    <numFmt numFmtId="179" formatCode="#,###,"/>
    <numFmt numFmtId="180" formatCode="0_ "/>
    <numFmt numFmtId="181" formatCode="0_);[Red]\(0\)"/>
    <numFmt numFmtId="182" formatCode="#,###.000,"/>
    <numFmt numFmtId="183" formatCode="_-* #,##0,_-;\-* #,##0,_-;_-* &quot;-&quot;_-;_-@_-"/>
    <numFmt numFmtId="184" formatCode="#,##0,,"/>
    <numFmt numFmtId="185" formatCode="#,##0&quot;건&quot;"/>
    <numFmt numFmtId="186" formatCode="#,##0_ ;[Red]\-#,##0\ "/>
    <numFmt numFmtId="187" formatCode="0.000"/>
    <numFmt numFmtId="188" formatCode="#,##0.00_ ;[Red]\-#,##0.00\ "/>
    <numFmt numFmtId="189" formatCode="#,##0.00_ "/>
    <numFmt numFmtId="190" formatCode="000\-000"/>
  </numFmts>
  <fonts count="54" x14ac:knownFonts="1">
    <font>
      <sz val="11"/>
      <color rgb="FF000000"/>
      <name val="맑은 고딕"/>
    </font>
    <font>
      <sz val="11"/>
      <color rgb="FF000000"/>
      <name val="새굴림"/>
      <family val="1"/>
      <charset val="129"/>
    </font>
    <font>
      <sz val="9"/>
      <color rgb="FF000000"/>
      <name val="새굴림"/>
      <family val="1"/>
      <charset val="129"/>
    </font>
    <font>
      <sz val="10"/>
      <color rgb="FF000000"/>
      <name val="새굴림"/>
      <family val="1"/>
      <charset val="129"/>
    </font>
    <font>
      <b/>
      <sz val="9"/>
      <color rgb="FF000000"/>
      <name val="새굴림"/>
      <family val="1"/>
      <charset val="129"/>
    </font>
    <font>
      <b/>
      <sz val="10"/>
      <color rgb="FF000000"/>
      <name val="새굴림"/>
      <family val="1"/>
      <charset val="129"/>
    </font>
    <font>
      <b/>
      <sz val="8"/>
      <color rgb="FF000000"/>
      <name val="새굴림"/>
      <family val="1"/>
      <charset val="129"/>
    </font>
    <font>
      <sz val="8"/>
      <color rgb="FF000000"/>
      <name val="새굴림"/>
      <family val="1"/>
      <charset val="129"/>
    </font>
    <font>
      <sz val="11"/>
      <color rgb="FF0000FF"/>
      <name val="새굴림"/>
      <family val="1"/>
      <charset val="129"/>
    </font>
    <font>
      <sz val="8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color rgb="FF0000FF"/>
      <name val="새굴림"/>
      <family val="1"/>
      <charset val="129"/>
    </font>
    <font>
      <sz val="11"/>
      <color rgb="FF0000FF"/>
      <name val="맑은 고딕"/>
      <family val="3"/>
      <charset val="129"/>
    </font>
    <font>
      <sz val="11"/>
      <color rgb="FF984807"/>
      <name val="새굴림"/>
      <family val="1"/>
      <charset val="129"/>
    </font>
    <font>
      <b/>
      <sz val="9"/>
      <color rgb="FF984807"/>
      <name val="새굴림"/>
      <family val="1"/>
      <charset val="129"/>
    </font>
    <font>
      <b/>
      <sz val="8"/>
      <color rgb="FF984807"/>
      <name val="새굴림"/>
      <family val="1"/>
      <charset val="129"/>
    </font>
    <font>
      <sz val="8"/>
      <color rgb="FF984807"/>
      <name val="새굴림"/>
      <family val="1"/>
      <charset val="129"/>
    </font>
    <font>
      <sz val="8"/>
      <color rgb="FFC00000"/>
      <name val="새굴림"/>
      <family val="1"/>
      <charset val="129"/>
    </font>
    <font>
      <b/>
      <sz val="8"/>
      <color rgb="FFC00000"/>
      <name val="새굴림"/>
      <family val="1"/>
      <charset val="129"/>
    </font>
    <font>
      <b/>
      <sz val="11"/>
      <color rgb="FF000000"/>
      <name val="새굴림"/>
      <family val="1"/>
      <charset val="129"/>
    </font>
    <font>
      <sz val="13"/>
      <color rgb="FF000000"/>
      <name val="새굴림"/>
      <family val="1"/>
      <charset val="129"/>
    </font>
    <font>
      <b/>
      <sz val="11"/>
      <color rgb="FFFF0000"/>
      <name val="새굴림"/>
      <family val="1"/>
      <charset val="129"/>
    </font>
    <font>
      <b/>
      <sz val="9"/>
      <color rgb="FFFF0000"/>
      <name val="새굴림"/>
      <family val="1"/>
      <charset val="129"/>
    </font>
    <font>
      <u val="double"/>
      <sz val="10"/>
      <color rgb="FF000000"/>
      <name val="새굴림"/>
      <family val="1"/>
      <charset val="129"/>
    </font>
    <font>
      <b/>
      <sz val="10"/>
      <color rgb="FFFF0000"/>
      <name val="새굴림"/>
      <family val="1"/>
      <charset val="129"/>
    </font>
    <font>
      <b/>
      <i/>
      <sz val="9"/>
      <color rgb="FF000000"/>
      <name val="새굴림"/>
      <family val="1"/>
      <charset val="129"/>
    </font>
    <font>
      <sz val="12"/>
      <color rgb="FF000000"/>
      <name val="새굴림"/>
      <family val="1"/>
      <charset val="129"/>
    </font>
    <font>
      <sz val="10"/>
      <color rgb="FFFF0000"/>
      <name val="새굴림"/>
      <family val="1"/>
      <charset val="129"/>
    </font>
    <font>
      <sz val="8"/>
      <color rgb="FFFF0000"/>
      <name val="새굴림"/>
      <family val="1"/>
      <charset val="129"/>
    </font>
    <font>
      <sz val="10"/>
      <color rgb="FF000000"/>
      <name val="바탕"/>
      <family val="1"/>
      <charset val="129"/>
    </font>
    <font>
      <sz val="8"/>
      <color rgb="FFFFC000"/>
      <name val="새굴림"/>
      <family val="1"/>
      <charset val="129"/>
    </font>
    <font>
      <b/>
      <sz val="11"/>
      <color rgb="FF000000"/>
      <name val="돋움"/>
      <family val="3"/>
      <charset val="129"/>
    </font>
    <font>
      <b/>
      <sz val="12"/>
      <color rgb="FF000000"/>
      <name val="새굴림"/>
      <family val="1"/>
      <charset val="129"/>
    </font>
    <font>
      <sz val="9"/>
      <color rgb="FF000000"/>
      <name val="맑은 고딕"/>
      <family val="3"/>
      <charset val="129"/>
    </font>
    <font>
      <sz val="9"/>
      <color rgb="FFFF0000"/>
      <name val="새굴림"/>
      <family val="1"/>
      <charset val="129"/>
    </font>
    <font>
      <sz val="9"/>
      <color rgb="FFFF0000"/>
      <name val="맑은 고딕"/>
      <family val="3"/>
      <charset val="129"/>
    </font>
    <font>
      <sz val="11"/>
      <color rgb="FFFF0000"/>
      <name val="새굴림"/>
      <family val="1"/>
      <charset val="129"/>
    </font>
    <font>
      <b/>
      <sz val="9"/>
      <color rgb="FF0000FF"/>
      <name val="새굴림"/>
      <family val="1"/>
      <charset val="129"/>
    </font>
    <font>
      <sz val="9"/>
      <color rgb="FF0000FF"/>
      <name val="새굴림"/>
      <family val="1"/>
      <charset val="129"/>
    </font>
    <font>
      <sz val="11"/>
      <color rgb="FF00B0F0"/>
      <name val="새굴림"/>
      <family val="1"/>
      <charset val="129"/>
    </font>
    <font>
      <sz val="9"/>
      <color rgb="FF00B0F0"/>
      <name val="새굴림"/>
      <family val="1"/>
      <charset val="129"/>
    </font>
    <font>
      <sz val="11"/>
      <color rgb="FF0070C0"/>
      <name val="새굴림"/>
      <family val="1"/>
      <charset val="129"/>
    </font>
    <font>
      <sz val="9"/>
      <color rgb="FF0070C0"/>
      <name val="새굴림"/>
      <family val="1"/>
      <charset val="129"/>
    </font>
    <font>
      <strike/>
      <sz val="10"/>
      <color rgb="FF000000"/>
      <name val="맑은 고딕"/>
      <family val="3"/>
      <charset val="129"/>
    </font>
    <font>
      <strike/>
      <sz val="10"/>
      <color rgb="FF000000"/>
      <name val="새굴림"/>
      <family val="1"/>
      <charset val="129"/>
    </font>
    <font>
      <b/>
      <sz val="27"/>
      <color rgb="FF000000"/>
      <name val="HY견명조"/>
      <family val="1"/>
      <charset val="129"/>
    </font>
    <font>
      <b/>
      <sz val="36"/>
      <color rgb="FF000000"/>
      <name val="HY견명조"/>
      <family val="1"/>
      <charset val="129"/>
    </font>
    <font>
      <sz val="28"/>
      <color rgb="FF000000"/>
      <name val="HY견명조"/>
      <family val="1"/>
      <charset val="129"/>
    </font>
    <font>
      <b/>
      <sz val="14"/>
      <color rgb="FF000000"/>
      <name val="새굴림"/>
      <family val="1"/>
      <charset val="129"/>
    </font>
    <font>
      <sz val="26"/>
      <color rgb="FF000000"/>
      <name val="새굴림"/>
      <family val="1"/>
      <charset val="129"/>
    </font>
    <font>
      <b/>
      <sz val="7"/>
      <color rgb="FF000000"/>
      <name val="새굴림"/>
      <family val="1"/>
      <charset val="129"/>
    </font>
    <font>
      <b/>
      <sz val="13"/>
      <color rgb="FF000000"/>
      <name val="새굴림"/>
      <family val="1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D5B5"/>
        <bgColor indexed="64"/>
      </patternFill>
    </fill>
  </fills>
  <borders count="16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D9D9D9"/>
      </bottom>
      <diagonal/>
    </border>
    <border>
      <left style="thin">
        <color auto="1"/>
      </left>
      <right/>
      <top style="thin">
        <color auto="1"/>
      </top>
      <bottom style="thin">
        <color rgb="FFD9D9D9"/>
      </bottom>
      <diagonal/>
    </border>
    <border>
      <left/>
      <right style="medium">
        <color auto="1"/>
      </right>
      <top style="thin">
        <color auto="1"/>
      </top>
      <bottom style="thin">
        <color rgb="FFD9D9D9"/>
      </bottom>
      <diagonal/>
    </border>
    <border>
      <left/>
      <right/>
      <top style="thin">
        <color auto="1"/>
      </top>
      <bottom style="thin">
        <color rgb="FFD9D9D9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auto="1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auto="1"/>
      </right>
      <top/>
      <bottom/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medium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 style="medium">
        <color auto="1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medium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medium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/>
      <diagonal/>
    </border>
    <border>
      <left/>
      <right style="medium">
        <color auto="1"/>
      </right>
      <top style="thin">
        <color rgb="FF000000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rgb="FF000000"/>
      </right>
      <top/>
      <bottom/>
      <diagonal/>
    </border>
    <border>
      <left style="medium">
        <color auto="1"/>
      </left>
      <right style="thin">
        <color rgb="FF000000"/>
      </right>
      <top/>
      <bottom style="medium">
        <color auto="1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 style="medium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/>
      <right style="medium">
        <color auto="1"/>
      </right>
      <top/>
      <bottom style="dotted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medium">
        <color auto="1"/>
      </left>
      <right/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auto="1"/>
      </bottom>
      <diagonal/>
    </border>
    <border>
      <left/>
      <right/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rgb="FF000000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 diagonalUp="1">
      <left/>
      <right style="thin">
        <color rgb="FF000000"/>
      </right>
      <top style="medium">
        <color auto="1"/>
      </top>
      <bottom/>
      <diagonal style="thin">
        <color rgb="FF000000"/>
      </diagonal>
    </border>
    <border diagonalUp="1">
      <left/>
      <right style="thin">
        <color rgb="FF000000"/>
      </right>
      <top/>
      <bottom style="thin">
        <color auto="1"/>
      </bottom>
      <diagonal style="thin">
        <color rgb="FF000000"/>
      </diagonal>
    </border>
    <border>
      <left style="thin">
        <color rgb="FF000000"/>
      </left>
      <right/>
      <top style="medium">
        <color auto="1"/>
      </top>
      <bottom/>
      <diagonal/>
    </border>
    <border>
      <left style="thin">
        <color rgb="FF000000"/>
      </left>
      <right/>
      <top/>
      <bottom style="thin">
        <color auto="1"/>
      </bottom>
      <diagonal/>
    </border>
    <border diagonalUp="1">
      <left/>
      <right style="medium">
        <color auto="1"/>
      </right>
      <top style="medium">
        <color auto="1"/>
      </top>
      <bottom/>
      <diagonal style="thin">
        <color rgb="FF000000"/>
      </diagonal>
    </border>
    <border diagonalUp="1">
      <left/>
      <right style="medium">
        <color auto="1"/>
      </right>
      <top/>
      <bottom style="thin">
        <color auto="1"/>
      </bottom>
      <diagonal style="thin">
        <color rgb="FF000000"/>
      </diagonal>
    </border>
    <border>
      <left/>
      <right style="thin">
        <color rgb="FF000000"/>
      </right>
      <top style="medium">
        <color auto="1"/>
      </top>
      <bottom/>
      <diagonal/>
    </border>
    <border>
      <left/>
      <right/>
      <top style="thin">
        <color rgb="FF000000"/>
      </top>
      <bottom style="thin">
        <color auto="1"/>
      </bottom>
      <diagonal/>
    </border>
    <border diagonalUp="1">
      <left/>
      <right style="medium">
        <color auto="1"/>
      </right>
      <top style="medium">
        <color auto="1"/>
      </top>
      <bottom/>
      <diagonal style="thin">
        <color auto="1"/>
      </diagonal>
    </border>
    <border diagonalUp="1">
      <left/>
      <right style="medium">
        <color auto="1"/>
      </right>
      <top/>
      <bottom style="thin">
        <color rgb="FF000000"/>
      </bottom>
      <diagonal style="thin">
        <color auto="1"/>
      </diagonal>
    </border>
    <border diagonalUp="1">
      <left/>
      <right style="thin">
        <color rgb="FF000000"/>
      </right>
      <top style="medium">
        <color auto="1"/>
      </top>
      <bottom/>
      <diagonal style="thin">
        <color auto="1"/>
      </diagonal>
    </border>
    <border diagonalUp="1">
      <left/>
      <right style="thin">
        <color rgb="FF000000"/>
      </right>
      <top/>
      <bottom style="thin">
        <color rgb="FF000000"/>
      </bottom>
      <diagonal style="thin">
        <color auto="1"/>
      </diagonal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rgb="FF000000"/>
      </top>
      <bottom/>
      <diagonal/>
    </border>
    <border>
      <left style="medium">
        <color auto="1"/>
      </left>
      <right style="thin">
        <color auto="1"/>
      </right>
      <top/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</borders>
  <cellStyleXfs count="15">
    <xf numFmtId="0" fontId="0" fillId="0" borderId="0">
      <alignment vertical="center"/>
    </xf>
    <xf numFmtId="41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41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41" fontId="52" fillId="0" borderId="0">
      <alignment vertical="center"/>
    </xf>
    <xf numFmtId="41" fontId="52" fillId="0" borderId="0">
      <alignment vertical="center"/>
    </xf>
    <xf numFmtId="41" fontId="52" fillId="0" borderId="0">
      <alignment vertical="center"/>
    </xf>
    <xf numFmtId="41" fontId="52" fillId="0" borderId="0">
      <alignment vertical="center"/>
    </xf>
    <xf numFmtId="41" fontId="52" fillId="0" borderId="0">
      <alignment vertical="center"/>
    </xf>
    <xf numFmtId="0" fontId="52" fillId="0" borderId="0">
      <alignment vertical="center"/>
    </xf>
  </cellStyleXfs>
  <cellXfs count="2120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NumberFormat="1" applyFont="1">
      <alignment vertical="center"/>
    </xf>
    <xf numFmtId="0" fontId="2" fillId="0" borderId="0" xfId="0" applyNumberFormat="1" applyFont="1" applyAlignment="1">
      <alignment horizontal="right" vertical="center"/>
    </xf>
    <xf numFmtId="0" fontId="2" fillId="0" borderId="0" xfId="0" applyNumberFormat="1" applyFont="1">
      <alignment vertical="center"/>
    </xf>
    <xf numFmtId="0" fontId="3" fillId="0" borderId="0" xfId="0" applyNumberFormat="1" applyFont="1">
      <alignment vertical="center"/>
    </xf>
    <xf numFmtId="0" fontId="1" fillId="0" borderId="0" xfId="0" applyNumberFormat="1" applyFont="1">
      <alignment vertical="center"/>
    </xf>
    <xf numFmtId="0" fontId="0" fillId="0" borderId="0" xfId="0" applyNumberFormat="1" applyFont="1">
      <alignment vertical="center"/>
    </xf>
    <xf numFmtId="0" fontId="2" fillId="0" borderId="0" xfId="0" applyNumberFormat="1" applyFont="1">
      <alignment vertical="center"/>
    </xf>
    <xf numFmtId="41" fontId="2" fillId="0" borderId="0" xfId="0" applyNumberFormat="1" applyFont="1" applyAlignment="1">
      <alignment horizontal="right" vertical="center"/>
    </xf>
    <xf numFmtId="179" fontId="2" fillId="0" borderId="0" xfId="0" applyNumberFormat="1" applyFont="1">
      <alignment vertical="center"/>
    </xf>
    <xf numFmtId="183" fontId="4" fillId="2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Border="1">
      <alignment vertical="center"/>
    </xf>
    <xf numFmtId="41" fontId="2" fillId="0" borderId="2" xfId="0" applyNumberFormat="1" applyFont="1" applyBorder="1" applyAlignment="1">
      <alignment horizontal="right" vertical="center"/>
    </xf>
    <xf numFmtId="0" fontId="2" fillId="0" borderId="2" xfId="0" applyNumberFormat="1" applyFont="1" applyBorder="1" applyAlignment="1">
      <alignment horizontal="right" vertical="center"/>
    </xf>
    <xf numFmtId="183" fontId="2" fillId="0" borderId="2" xfId="0" applyNumberFormat="1" applyFont="1" applyBorder="1" applyAlignment="1">
      <alignment horizontal="right" vertical="center"/>
    </xf>
    <xf numFmtId="183" fontId="2" fillId="0" borderId="2" xfId="0" applyNumberFormat="1" applyFont="1" applyBorder="1">
      <alignment vertical="center"/>
    </xf>
    <xf numFmtId="0" fontId="0" fillId="0" borderId="0" xfId="0" applyNumberFormat="1" applyFont="1">
      <alignment vertical="center"/>
    </xf>
    <xf numFmtId="0" fontId="3" fillId="0" borderId="0" xfId="0" applyNumberFormat="1" applyFont="1" applyAlignment="1">
      <alignment horizontal="left" vertical="center"/>
    </xf>
    <xf numFmtId="0" fontId="3" fillId="3" borderId="0" xfId="0" applyNumberFormat="1" applyFont="1" applyFill="1">
      <alignment vertical="center"/>
    </xf>
    <xf numFmtId="0" fontId="3" fillId="3" borderId="0" xfId="0" applyNumberFormat="1" applyFont="1" applyFill="1">
      <alignment vertical="center"/>
    </xf>
    <xf numFmtId="0" fontId="5" fillId="2" borderId="3" xfId="0" applyNumberFormat="1" applyFont="1" applyFill="1" applyBorder="1" applyAlignment="1">
      <alignment horizontal="center" vertical="center"/>
    </xf>
    <xf numFmtId="0" fontId="3" fillId="0" borderId="0" xfId="0" applyNumberFormat="1" applyFont="1">
      <alignment vertical="center"/>
    </xf>
    <xf numFmtId="0" fontId="3" fillId="0" borderId="2" xfId="0" applyNumberFormat="1" applyFont="1" applyBorder="1">
      <alignment vertical="center"/>
    </xf>
    <xf numFmtId="177" fontId="3" fillId="0" borderId="2" xfId="0" applyNumberFormat="1" applyFont="1" applyBorder="1">
      <alignment vertical="center"/>
    </xf>
    <xf numFmtId="0" fontId="3" fillId="0" borderId="2" xfId="0" applyNumberFormat="1" applyFont="1" applyBorder="1" applyAlignment="1">
      <alignment horizontal="left" vertical="center"/>
    </xf>
    <xf numFmtId="178" fontId="6" fillId="0" borderId="4" xfId="0" applyNumberFormat="1" applyFont="1" applyBorder="1" applyAlignment="1">
      <alignment vertical="center" shrinkToFit="1"/>
    </xf>
    <xf numFmtId="178" fontId="6" fillId="0" borderId="5" xfId="0" applyNumberFormat="1" applyFont="1" applyBorder="1" applyAlignment="1">
      <alignment vertical="center" shrinkToFit="1"/>
    </xf>
    <xf numFmtId="41" fontId="6" fillId="0" borderId="4" xfId="0" applyNumberFormat="1" applyFont="1" applyBorder="1" applyAlignment="1">
      <alignment vertical="center" shrinkToFit="1"/>
    </xf>
    <xf numFmtId="0" fontId="6" fillId="2" borderId="3" xfId="0" applyNumberFormat="1" applyFont="1" applyFill="1" applyBorder="1" applyAlignment="1">
      <alignment horizontal="left" vertical="center"/>
    </xf>
    <xf numFmtId="0" fontId="6" fillId="2" borderId="3" xfId="0" applyNumberFormat="1" applyFont="1" applyFill="1" applyBorder="1" applyAlignment="1">
      <alignment horizontal="left" vertical="center" wrapText="1"/>
    </xf>
    <xf numFmtId="0" fontId="6" fillId="0" borderId="6" xfId="2" applyNumberFormat="1" applyFont="1" applyBorder="1">
      <alignment vertical="center"/>
    </xf>
    <xf numFmtId="0" fontId="7" fillId="0" borderId="7" xfId="2" applyNumberFormat="1" applyFont="1" applyBorder="1">
      <alignment vertical="center"/>
    </xf>
    <xf numFmtId="0" fontId="5" fillId="4" borderId="8" xfId="2" applyNumberFormat="1" applyFont="1" applyFill="1" applyBorder="1" applyAlignment="1">
      <alignment horizontal="center" vertical="center"/>
    </xf>
    <xf numFmtId="0" fontId="5" fillId="5" borderId="5" xfId="2" applyNumberFormat="1" applyFont="1" applyFill="1" applyBorder="1" applyAlignment="1">
      <alignment horizontal="center" vertical="center"/>
    </xf>
    <xf numFmtId="0" fontId="5" fillId="5" borderId="9" xfId="2" applyNumberFormat="1" applyFont="1" applyFill="1" applyBorder="1" applyAlignment="1">
      <alignment horizontal="center" vertical="center"/>
    </xf>
    <xf numFmtId="0" fontId="7" fillId="0" borderId="0" xfId="2" applyNumberFormat="1" applyFont="1">
      <alignment vertical="center"/>
    </xf>
    <xf numFmtId="0" fontId="5" fillId="6" borderId="8" xfId="3" applyNumberFormat="1" applyFont="1" applyFill="1" applyBorder="1" applyAlignment="1">
      <alignment horizontal="center" vertical="center"/>
    </xf>
    <xf numFmtId="0" fontId="8" fillId="0" borderId="0" xfId="3" applyNumberFormat="1" applyFont="1">
      <alignment vertical="center"/>
    </xf>
    <xf numFmtId="0" fontId="1" fillId="0" borderId="0" xfId="3" applyNumberFormat="1" applyFont="1">
      <alignment vertical="center"/>
    </xf>
    <xf numFmtId="0" fontId="7" fillId="0" borderId="4" xfId="3" applyNumberFormat="1" applyFont="1" applyBorder="1">
      <alignment vertical="center"/>
    </xf>
    <xf numFmtId="0" fontId="2" fillId="0" borderId="10" xfId="3" applyNumberFormat="1" applyFont="1" applyBorder="1">
      <alignment vertical="center"/>
    </xf>
    <xf numFmtId="177" fontId="2" fillId="0" borderId="10" xfId="3" applyNumberFormat="1" applyFont="1" applyBorder="1">
      <alignment vertical="center"/>
    </xf>
    <xf numFmtId="0" fontId="6" fillId="0" borderId="4" xfId="3" applyNumberFormat="1" applyFont="1" applyBorder="1">
      <alignment vertical="center"/>
    </xf>
    <xf numFmtId="0" fontId="6" fillId="0" borderId="6" xfId="3" applyNumberFormat="1" applyFont="1" applyBorder="1">
      <alignment vertical="center"/>
    </xf>
    <xf numFmtId="0" fontId="7" fillId="0" borderId="5" xfId="3" applyNumberFormat="1" applyFont="1" applyBorder="1">
      <alignment vertical="center"/>
    </xf>
    <xf numFmtId="0" fontId="8" fillId="0" borderId="0" xfId="0" applyNumberFormat="1" applyFont="1">
      <alignment vertical="center"/>
    </xf>
    <xf numFmtId="0" fontId="1" fillId="0" borderId="11" xfId="3" applyNumberFormat="1" applyFont="1" applyBorder="1">
      <alignment vertical="center"/>
    </xf>
    <xf numFmtId="177" fontId="2" fillId="0" borderId="12" xfId="3" applyNumberFormat="1" applyFont="1" applyBorder="1">
      <alignment vertical="center"/>
    </xf>
    <xf numFmtId="41" fontId="7" fillId="0" borderId="5" xfId="4" applyNumberFormat="1" applyFont="1" applyBorder="1">
      <alignment vertical="center"/>
    </xf>
    <xf numFmtId="178" fontId="7" fillId="0" borderId="5" xfId="4" applyNumberFormat="1" applyFont="1" applyBorder="1">
      <alignment vertical="center"/>
    </xf>
    <xf numFmtId="178" fontId="7" fillId="0" borderId="5" xfId="3" applyNumberFormat="1" applyFont="1" applyBorder="1">
      <alignment vertical="center"/>
    </xf>
    <xf numFmtId="0" fontId="2" fillId="0" borderId="12" xfId="3" applyNumberFormat="1" applyFont="1" applyBorder="1">
      <alignment vertical="center"/>
    </xf>
    <xf numFmtId="0" fontId="4" fillId="3" borderId="2" xfId="0" applyNumberFormat="1" applyFont="1" applyFill="1" applyBorder="1" applyAlignment="1">
      <alignment horizontal="right" vertical="center"/>
    </xf>
    <xf numFmtId="41" fontId="4" fillId="3" borderId="2" xfId="0" applyNumberFormat="1" applyFont="1" applyFill="1" applyBorder="1" applyAlignment="1">
      <alignment horizontal="right" vertical="center"/>
    </xf>
    <xf numFmtId="0" fontId="4" fillId="3" borderId="13" xfId="0" applyNumberFormat="1" applyFont="1" applyFill="1" applyBorder="1" applyAlignment="1">
      <alignment horizontal="center" vertical="center"/>
    </xf>
    <xf numFmtId="0" fontId="6" fillId="2" borderId="14" xfId="0" applyNumberFormat="1" applyFont="1" applyFill="1" applyBorder="1" applyAlignment="1">
      <alignment horizontal="center" vertical="center" wrapText="1"/>
    </xf>
    <xf numFmtId="0" fontId="4" fillId="2" borderId="12" xfId="0" applyNumberFormat="1" applyFont="1" applyFill="1" applyBorder="1" applyAlignment="1">
      <alignment horizontal="center" vertical="center"/>
    </xf>
    <xf numFmtId="183" fontId="4" fillId="2" borderId="15" xfId="0" applyNumberFormat="1" applyFont="1" applyFill="1" applyBorder="1" applyAlignment="1">
      <alignment horizontal="center" vertical="center"/>
    </xf>
    <xf numFmtId="0" fontId="2" fillId="0" borderId="0" xfId="3" applyNumberFormat="1" applyFont="1">
      <alignment vertical="center"/>
    </xf>
    <xf numFmtId="0" fontId="7" fillId="0" borderId="0" xfId="3" applyNumberFormat="1" applyFont="1">
      <alignment vertical="center"/>
    </xf>
    <xf numFmtId="177" fontId="2" fillId="0" borderId="15" xfId="3" applyNumberFormat="1" applyFont="1" applyBorder="1">
      <alignment vertical="center"/>
    </xf>
    <xf numFmtId="0" fontId="7" fillId="0" borderId="8" xfId="3" applyNumberFormat="1" applyFont="1" applyBorder="1">
      <alignment vertical="center"/>
    </xf>
    <xf numFmtId="178" fontId="7" fillId="0" borderId="8" xfId="4" applyNumberFormat="1" applyFont="1" applyBorder="1">
      <alignment vertical="center"/>
    </xf>
    <xf numFmtId="0" fontId="3" fillId="0" borderId="0" xfId="2" applyNumberFormat="1" applyFont="1">
      <alignment vertical="center"/>
    </xf>
    <xf numFmtId="0" fontId="1" fillId="0" borderId="0" xfId="2" applyNumberFormat="1" applyFont="1">
      <alignment vertical="center"/>
    </xf>
    <xf numFmtId="0" fontId="3" fillId="0" borderId="10" xfId="2" applyNumberFormat="1" applyFont="1" applyBorder="1">
      <alignment vertical="center"/>
    </xf>
    <xf numFmtId="0" fontId="3" fillId="0" borderId="16" xfId="2" applyNumberFormat="1" applyFont="1" applyBorder="1">
      <alignment vertical="center"/>
    </xf>
    <xf numFmtId="177" fontId="3" fillId="0" borderId="16" xfId="2" applyNumberFormat="1" applyFont="1" applyBorder="1">
      <alignment vertical="center"/>
    </xf>
    <xf numFmtId="0" fontId="7" fillId="0" borderId="6" xfId="2" applyNumberFormat="1" applyFont="1" applyBorder="1">
      <alignment vertical="center"/>
    </xf>
    <xf numFmtId="0" fontId="3" fillId="0" borderId="7" xfId="2" applyNumberFormat="1" applyFont="1" applyBorder="1">
      <alignment vertical="center"/>
    </xf>
    <xf numFmtId="41" fontId="1" fillId="0" borderId="0" xfId="12" applyNumberFormat="1" applyFont="1" applyFill="1">
      <alignment vertical="center"/>
    </xf>
    <xf numFmtId="0" fontId="6" fillId="0" borderId="5" xfId="3" applyNumberFormat="1" applyFont="1" applyBorder="1">
      <alignment vertical="center"/>
    </xf>
    <xf numFmtId="0" fontId="3" fillId="0" borderId="17" xfId="3" applyNumberFormat="1" applyFont="1" applyBorder="1">
      <alignment vertical="center"/>
    </xf>
    <xf numFmtId="0" fontId="5" fillId="0" borderId="12" xfId="0" applyNumberFormat="1" applyFont="1" applyBorder="1">
      <alignment vertical="center"/>
    </xf>
    <xf numFmtId="177" fontId="5" fillId="0" borderId="12" xfId="0" applyNumberFormat="1" applyFont="1" applyBorder="1">
      <alignment vertical="center"/>
    </xf>
    <xf numFmtId="0" fontId="3" fillId="0" borderId="18" xfId="0" applyNumberFormat="1" applyFont="1" applyBorder="1">
      <alignment vertical="center"/>
    </xf>
    <xf numFmtId="0" fontId="3" fillId="0" borderId="17" xfId="0" applyNumberFormat="1" applyFont="1" applyBorder="1">
      <alignment vertical="center"/>
    </xf>
    <xf numFmtId="0" fontId="3" fillId="0" borderId="0" xfId="0" applyNumberFormat="1" applyFont="1">
      <alignment vertical="center"/>
    </xf>
    <xf numFmtId="0" fontId="3" fillId="0" borderId="19" xfId="0" applyNumberFormat="1" applyFont="1" applyBorder="1">
      <alignment vertical="center"/>
    </xf>
    <xf numFmtId="0" fontId="5" fillId="0" borderId="16" xfId="0" applyNumberFormat="1" applyFont="1" applyBorder="1">
      <alignment vertical="center"/>
    </xf>
    <xf numFmtId="0" fontId="5" fillId="0" borderId="20" xfId="0" applyNumberFormat="1" applyFont="1" applyBorder="1">
      <alignment vertical="center"/>
    </xf>
    <xf numFmtId="0" fontId="5" fillId="0" borderId="5" xfId="0" applyNumberFormat="1" applyFont="1" applyBorder="1">
      <alignment vertical="center"/>
    </xf>
    <xf numFmtId="0" fontId="5" fillId="0" borderId="10" xfId="0" applyNumberFormat="1" applyFont="1" applyBorder="1">
      <alignment vertical="center"/>
    </xf>
    <xf numFmtId="0" fontId="5" fillId="0" borderId="9" xfId="0" applyNumberFormat="1" applyFont="1" applyBorder="1">
      <alignment vertical="center"/>
    </xf>
    <xf numFmtId="0" fontId="5" fillId="0" borderId="21" xfId="0" applyNumberFormat="1" applyFont="1" applyBorder="1">
      <alignment vertical="center"/>
    </xf>
    <xf numFmtId="0" fontId="5" fillId="0" borderId="5" xfId="0" applyNumberFormat="1" applyFont="1" applyBorder="1" applyAlignment="1">
      <alignment horizontal="left" vertical="center"/>
    </xf>
    <xf numFmtId="0" fontId="5" fillId="0" borderId="4" xfId="0" applyNumberFormat="1" applyFont="1" applyBorder="1">
      <alignment vertical="center"/>
    </xf>
    <xf numFmtId="41" fontId="5" fillId="0" borderId="4" xfId="0" applyNumberFormat="1" applyFont="1" applyBorder="1" applyAlignment="1">
      <alignment vertical="center" shrinkToFit="1"/>
    </xf>
    <xf numFmtId="176" fontId="5" fillId="0" borderId="4" xfId="0" applyNumberFormat="1" applyFont="1" applyBorder="1" applyAlignment="1">
      <alignment vertical="center" shrinkToFit="1"/>
    </xf>
    <xf numFmtId="0" fontId="5" fillId="0" borderId="4" xfId="0" applyNumberFormat="1" applyFont="1" applyBorder="1" applyAlignment="1">
      <alignment vertical="center" shrinkToFit="1"/>
    </xf>
    <xf numFmtId="176" fontId="5" fillId="0" borderId="4" xfId="0" applyNumberFormat="1" applyFont="1" applyBorder="1">
      <alignment vertical="center"/>
    </xf>
    <xf numFmtId="0" fontId="5" fillId="0" borderId="7" xfId="0" applyNumberFormat="1" applyFont="1" applyBorder="1">
      <alignment vertical="center"/>
    </xf>
    <xf numFmtId="0" fontId="3" fillId="0" borderId="10" xfId="0" applyNumberFormat="1" applyFont="1" applyBorder="1">
      <alignment vertical="center"/>
    </xf>
    <xf numFmtId="0" fontId="3" fillId="0" borderId="9" xfId="0" applyNumberFormat="1" applyFont="1" applyBorder="1">
      <alignment vertical="center"/>
    </xf>
    <xf numFmtId="177" fontId="3" fillId="0" borderId="12" xfId="0" applyNumberFormat="1" applyFont="1" applyBorder="1">
      <alignment vertical="center"/>
    </xf>
    <xf numFmtId="0" fontId="9" fillId="0" borderId="20" xfId="0" applyNumberFormat="1" applyFont="1" applyBorder="1">
      <alignment vertical="center"/>
    </xf>
    <xf numFmtId="0" fontId="6" fillId="0" borderId="5" xfId="0" applyNumberFormat="1" applyFont="1" applyBorder="1">
      <alignment vertical="center"/>
    </xf>
    <xf numFmtId="0" fontId="7" fillId="0" borderId="5" xfId="0" applyNumberFormat="1" applyFont="1" applyBorder="1">
      <alignment vertical="center"/>
    </xf>
    <xf numFmtId="41" fontId="7" fillId="0" borderId="5" xfId="0" applyNumberFormat="1" applyFont="1" applyBorder="1" applyAlignment="1">
      <alignment vertical="center" shrinkToFit="1"/>
    </xf>
    <xf numFmtId="176" fontId="7" fillId="0" borderId="5" xfId="0" applyNumberFormat="1" applyFont="1" applyBorder="1" applyAlignment="1">
      <alignment horizontal="center" vertical="center" shrinkToFit="1"/>
    </xf>
    <xf numFmtId="0" fontId="7" fillId="0" borderId="5" xfId="0" applyNumberFormat="1" applyFont="1" applyBorder="1" applyAlignment="1">
      <alignment vertical="center" shrinkToFit="1"/>
    </xf>
    <xf numFmtId="176" fontId="7" fillId="0" borderId="5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vertical="center" shrinkToFit="1"/>
    </xf>
    <xf numFmtId="176" fontId="7" fillId="0" borderId="5" xfId="0" applyNumberFormat="1" applyFont="1" applyBorder="1">
      <alignment vertical="center"/>
    </xf>
    <xf numFmtId="0" fontId="3" fillId="0" borderId="22" xfId="0" applyNumberFormat="1" applyFont="1" applyBorder="1">
      <alignment vertical="center"/>
    </xf>
    <xf numFmtId="0" fontId="3" fillId="0" borderId="21" xfId="0" applyNumberFormat="1" applyFont="1" applyBorder="1">
      <alignment vertical="center"/>
    </xf>
    <xf numFmtId="177" fontId="3" fillId="0" borderId="16" xfId="0" applyNumberFormat="1" applyFont="1" applyBorder="1">
      <alignment vertical="center"/>
    </xf>
    <xf numFmtId="0" fontId="6" fillId="0" borderId="4" xfId="0" applyNumberFormat="1" applyFont="1" applyBorder="1">
      <alignment vertical="center"/>
    </xf>
    <xf numFmtId="0" fontId="7" fillId="0" borderId="4" xfId="0" applyNumberFormat="1" applyFont="1" applyBorder="1">
      <alignment vertical="center"/>
    </xf>
    <xf numFmtId="41" fontId="7" fillId="0" borderId="4" xfId="0" applyNumberFormat="1" applyFont="1" applyBorder="1" applyAlignment="1">
      <alignment vertical="center" shrinkToFit="1"/>
    </xf>
    <xf numFmtId="176" fontId="7" fillId="0" borderId="4" xfId="0" applyNumberFormat="1" applyFont="1" applyBorder="1" applyAlignment="1">
      <alignment vertical="center" shrinkToFit="1"/>
    </xf>
    <xf numFmtId="176" fontId="7" fillId="0" borderId="4" xfId="0" applyNumberFormat="1" applyFont="1" applyBorder="1" applyAlignment="1">
      <alignment horizontal="center" vertical="center"/>
    </xf>
    <xf numFmtId="176" fontId="7" fillId="0" borderId="4" xfId="0" applyNumberFormat="1" applyFont="1" applyBorder="1">
      <alignment vertical="center"/>
    </xf>
    <xf numFmtId="177" fontId="3" fillId="0" borderId="10" xfId="0" applyNumberFormat="1" applyFont="1" applyBorder="1">
      <alignment vertical="center"/>
    </xf>
    <xf numFmtId="0" fontId="7" fillId="0" borderId="17" xfId="0" applyNumberFormat="1" applyFont="1" applyBorder="1">
      <alignment vertical="center"/>
    </xf>
    <xf numFmtId="0" fontId="3" fillId="0" borderId="6" xfId="0" applyNumberFormat="1" applyFont="1" applyBorder="1">
      <alignment vertical="center"/>
    </xf>
    <xf numFmtId="0" fontId="3" fillId="0" borderId="7" xfId="0" applyNumberFormat="1" applyFont="1" applyBorder="1">
      <alignment vertical="center"/>
    </xf>
    <xf numFmtId="0" fontId="6" fillId="0" borderId="17" xfId="0" applyNumberFormat="1" applyFont="1" applyBorder="1">
      <alignment vertical="center"/>
    </xf>
    <xf numFmtId="0" fontId="3" fillId="0" borderId="16" xfId="0" applyNumberFormat="1" applyFont="1" applyBorder="1">
      <alignment vertical="center"/>
    </xf>
    <xf numFmtId="0" fontId="6" fillId="0" borderId="6" xfId="0" applyNumberFormat="1" applyFont="1" applyBorder="1">
      <alignment vertical="center"/>
    </xf>
    <xf numFmtId="176" fontId="7" fillId="0" borderId="4" xfId="0" applyNumberFormat="1" applyFont="1" applyBorder="1" applyAlignment="1">
      <alignment horizontal="center" vertical="center" shrinkToFit="1"/>
    </xf>
    <xf numFmtId="0" fontId="9" fillId="0" borderId="6" xfId="0" applyNumberFormat="1" applyFont="1" applyBorder="1">
      <alignment vertical="center"/>
    </xf>
    <xf numFmtId="0" fontId="7" fillId="0" borderId="4" xfId="0" applyNumberFormat="1" applyFont="1" applyBorder="1" applyAlignment="1">
      <alignment vertical="center" shrinkToFit="1"/>
    </xf>
    <xf numFmtId="0" fontId="9" fillId="0" borderId="17" xfId="0" applyNumberFormat="1" applyFont="1" applyBorder="1">
      <alignment vertical="center"/>
    </xf>
    <xf numFmtId="0" fontId="3" fillId="0" borderId="2" xfId="0" applyNumberFormat="1" applyFont="1" applyBorder="1">
      <alignment vertical="center"/>
    </xf>
    <xf numFmtId="0" fontId="3" fillId="0" borderId="5" xfId="0" applyNumberFormat="1" applyFont="1" applyBorder="1">
      <alignment vertical="center"/>
    </xf>
    <xf numFmtId="177" fontId="3" fillId="0" borderId="17" xfId="0" applyNumberFormat="1" applyFont="1" applyBorder="1">
      <alignment vertical="center"/>
    </xf>
    <xf numFmtId="0" fontId="3" fillId="0" borderId="15" xfId="0" applyNumberFormat="1" applyFont="1" applyBorder="1">
      <alignment vertical="center"/>
    </xf>
    <xf numFmtId="177" fontId="5" fillId="0" borderId="12" xfId="0" applyNumberFormat="1" applyFont="1" applyBorder="1" applyAlignment="1">
      <alignment horizontal="right" vertical="center"/>
    </xf>
    <xf numFmtId="0" fontId="10" fillId="0" borderId="20" xfId="0" applyNumberFormat="1" applyFont="1" applyBorder="1">
      <alignment vertical="center"/>
    </xf>
    <xf numFmtId="178" fontId="7" fillId="0" borderId="5" xfId="0" applyNumberFormat="1" applyFont="1" applyBorder="1" applyAlignment="1">
      <alignment horizontal="left" vertical="center" shrinkToFit="1"/>
    </xf>
    <xf numFmtId="176" fontId="3" fillId="0" borderId="5" xfId="0" applyNumberFormat="1" applyFont="1" applyBorder="1" applyAlignment="1">
      <alignment vertical="center" shrinkToFit="1"/>
    </xf>
    <xf numFmtId="176" fontId="3" fillId="0" borderId="5" xfId="0" applyNumberFormat="1" applyFont="1" applyBorder="1">
      <alignment vertical="center"/>
    </xf>
    <xf numFmtId="41" fontId="3" fillId="0" borderId="5" xfId="0" applyNumberFormat="1" applyFont="1" applyBorder="1" applyAlignment="1">
      <alignment vertical="center" shrinkToFit="1"/>
    </xf>
    <xf numFmtId="0" fontId="3" fillId="0" borderId="12" xfId="0" applyNumberFormat="1" applyFont="1" applyBorder="1">
      <alignment vertical="center"/>
    </xf>
    <xf numFmtId="0" fontId="3" fillId="0" borderId="20" xfId="0" applyNumberFormat="1" applyFont="1" applyBorder="1">
      <alignment vertical="center"/>
    </xf>
    <xf numFmtId="0" fontId="11" fillId="0" borderId="0" xfId="3" applyNumberFormat="1" applyFont="1">
      <alignment vertical="center"/>
    </xf>
    <xf numFmtId="0" fontId="8" fillId="0" borderId="23" xfId="3" applyNumberFormat="1" applyFont="1" applyBorder="1">
      <alignment vertical="center"/>
    </xf>
    <xf numFmtId="0" fontId="12" fillId="0" borderId="0" xfId="3" applyNumberFormat="1" applyFont="1">
      <alignment vertical="center"/>
    </xf>
    <xf numFmtId="0" fontId="8" fillId="0" borderId="23" xfId="0" applyNumberFormat="1" applyFont="1" applyBorder="1">
      <alignment vertical="center"/>
    </xf>
    <xf numFmtId="0" fontId="8" fillId="0" borderId="23" xfId="3" applyNumberFormat="1" applyFont="1" applyBorder="1">
      <alignment vertical="center"/>
    </xf>
    <xf numFmtId="0" fontId="13" fillId="0" borderId="23" xfId="3" applyNumberFormat="1" applyFont="1" applyBorder="1">
      <alignment vertical="center"/>
    </xf>
    <xf numFmtId="0" fontId="14" fillId="7" borderId="24" xfId="3" applyNumberFormat="1" applyFont="1" applyFill="1" applyBorder="1" applyAlignment="1">
      <alignment horizontal="center" vertical="center"/>
    </xf>
    <xf numFmtId="0" fontId="13" fillId="0" borderId="0" xfId="3" applyNumberFormat="1" applyFont="1">
      <alignment vertical="center"/>
    </xf>
    <xf numFmtId="0" fontId="15" fillId="0" borderId="22" xfId="3" applyNumberFormat="1" applyFont="1" applyBorder="1">
      <alignment vertical="center"/>
    </xf>
    <xf numFmtId="0" fontId="16" fillId="0" borderId="22" xfId="3" applyNumberFormat="1" applyFont="1" applyBorder="1">
      <alignment vertical="center"/>
    </xf>
    <xf numFmtId="0" fontId="16" fillId="0" borderId="24" xfId="3" applyNumberFormat="1" applyFont="1" applyBorder="1">
      <alignment vertical="center"/>
    </xf>
    <xf numFmtId="0" fontId="13" fillId="0" borderId="0" xfId="6" applyNumberFormat="1" applyFont="1">
      <alignment vertical="center"/>
    </xf>
    <xf numFmtId="0" fontId="13" fillId="8" borderId="23" xfId="3" applyNumberFormat="1" applyFont="1" applyFill="1" applyBorder="1">
      <alignment vertical="center"/>
    </xf>
    <xf numFmtId="0" fontId="13" fillId="8" borderId="0" xfId="3" applyNumberFormat="1" applyFont="1" applyFill="1">
      <alignment vertical="center"/>
    </xf>
    <xf numFmtId="0" fontId="17" fillId="0" borderId="7" xfId="3" applyNumberFormat="1" applyFont="1" applyBorder="1">
      <alignment vertical="center"/>
    </xf>
    <xf numFmtId="0" fontId="17" fillId="0" borderId="19" xfId="3" applyNumberFormat="1" applyFont="1" applyBorder="1">
      <alignment vertical="center"/>
    </xf>
    <xf numFmtId="0" fontId="17" fillId="0" borderId="19" xfId="6" applyNumberFormat="1" applyFont="1" applyBorder="1">
      <alignment vertical="center"/>
    </xf>
    <xf numFmtId="0" fontId="17" fillId="0" borderId="22" xfId="3" applyNumberFormat="1" applyFont="1" applyBorder="1">
      <alignment vertical="center"/>
    </xf>
    <xf numFmtId="0" fontId="18" fillId="0" borderId="22" xfId="3" applyNumberFormat="1" applyFont="1" applyBorder="1">
      <alignment vertical="center"/>
    </xf>
    <xf numFmtId="0" fontId="17" fillId="0" borderId="22" xfId="8" applyNumberFormat="1" applyFont="1" applyBorder="1">
      <alignment vertical="center"/>
    </xf>
    <xf numFmtId="0" fontId="17" fillId="0" borderId="19" xfId="8" applyNumberFormat="1" applyFont="1" applyBorder="1">
      <alignment vertical="center"/>
    </xf>
    <xf numFmtId="0" fontId="17" fillId="0" borderId="7" xfId="8" applyNumberFormat="1" applyFont="1" applyBorder="1">
      <alignment vertical="center"/>
    </xf>
    <xf numFmtId="0" fontId="11" fillId="0" borderId="23" xfId="3" applyNumberFormat="1" applyFont="1" applyBorder="1">
      <alignment vertical="center"/>
    </xf>
    <xf numFmtId="0" fontId="17" fillId="0" borderId="19" xfId="0" applyNumberFormat="1" applyFont="1" applyBorder="1">
      <alignment vertical="center"/>
    </xf>
    <xf numFmtId="177" fontId="4" fillId="7" borderId="15" xfId="3" applyNumberFormat="1" applyFont="1" applyFill="1" applyBorder="1" applyAlignment="1">
      <alignment horizontal="right" vertical="center"/>
    </xf>
    <xf numFmtId="0" fontId="4" fillId="7" borderId="8" xfId="3" applyNumberFormat="1" applyFont="1" applyFill="1" applyBorder="1" applyAlignment="1">
      <alignment horizontal="center" vertical="center"/>
    </xf>
    <xf numFmtId="41" fontId="4" fillId="7" borderId="8" xfId="4" applyNumberFormat="1" applyFont="1" applyFill="1" applyBorder="1" applyAlignment="1">
      <alignment horizontal="center" vertical="center"/>
    </xf>
    <xf numFmtId="178" fontId="4" fillId="7" borderId="8" xfId="3" applyNumberFormat="1" applyFont="1" applyFill="1" applyBorder="1" applyAlignment="1">
      <alignment horizontal="center" vertical="center"/>
    </xf>
    <xf numFmtId="0" fontId="1" fillId="0" borderId="25" xfId="3" applyNumberFormat="1" applyFont="1" applyBorder="1">
      <alignment vertical="center"/>
    </xf>
    <xf numFmtId="0" fontId="4" fillId="0" borderId="12" xfId="3" applyNumberFormat="1" applyFont="1" applyBorder="1">
      <alignment vertical="center"/>
    </xf>
    <xf numFmtId="0" fontId="4" fillId="0" borderId="20" xfId="3" applyNumberFormat="1" applyFont="1" applyBorder="1">
      <alignment vertical="center"/>
    </xf>
    <xf numFmtId="0" fontId="4" fillId="0" borderId="5" xfId="3" applyNumberFormat="1" applyFont="1" applyBorder="1">
      <alignment vertical="center"/>
    </xf>
    <xf numFmtId="0" fontId="4" fillId="0" borderId="9" xfId="3" applyNumberFormat="1" applyFont="1" applyBorder="1">
      <alignment vertical="center"/>
    </xf>
    <xf numFmtId="177" fontId="4" fillId="0" borderId="12" xfId="3" applyNumberFormat="1" applyFont="1" applyBorder="1">
      <alignment vertical="center"/>
    </xf>
    <xf numFmtId="41" fontId="6" fillId="0" borderId="5" xfId="4" applyNumberFormat="1" applyFont="1" applyBorder="1">
      <alignment vertical="center"/>
    </xf>
    <xf numFmtId="178" fontId="6" fillId="0" borderId="5" xfId="4" applyNumberFormat="1" applyFont="1" applyBorder="1">
      <alignment vertical="center"/>
    </xf>
    <xf numFmtId="178" fontId="6" fillId="0" borderId="5" xfId="3" applyNumberFormat="1" applyFont="1" applyBorder="1">
      <alignment vertical="center"/>
    </xf>
    <xf numFmtId="0" fontId="2" fillId="0" borderId="21" xfId="3" applyNumberFormat="1" applyFont="1" applyBorder="1">
      <alignment vertical="center"/>
    </xf>
    <xf numFmtId="0" fontId="2" fillId="0" borderId="20" xfId="3" applyNumberFormat="1" applyFont="1" applyBorder="1">
      <alignment vertical="center"/>
    </xf>
    <xf numFmtId="0" fontId="2" fillId="0" borderId="9" xfId="3" applyNumberFormat="1" applyFont="1" applyBorder="1">
      <alignment vertical="center"/>
    </xf>
    <xf numFmtId="0" fontId="2" fillId="0" borderId="26" xfId="3" applyNumberFormat="1" applyFont="1" applyBorder="1">
      <alignment vertical="center"/>
    </xf>
    <xf numFmtId="0" fontId="2" fillId="0" borderId="27" xfId="3" applyNumberFormat="1" applyFont="1" applyBorder="1">
      <alignment vertical="center"/>
    </xf>
    <xf numFmtId="41" fontId="7" fillId="0" borderId="8" xfId="4" applyNumberFormat="1" applyFont="1" applyBorder="1">
      <alignment vertical="center"/>
    </xf>
    <xf numFmtId="178" fontId="7" fillId="0" borderId="8" xfId="3" applyNumberFormat="1" applyFont="1" applyBorder="1">
      <alignment vertical="center"/>
    </xf>
    <xf numFmtId="0" fontId="2" fillId="0" borderId="16" xfId="3" applyNumberFormat="1" applyFont="1" applyBorder="1">
      <alignment vertical="center"/>
    </xf>
    <xf numFmtId="177" fontId="2" fillId="0" borderId="16" xfId="3" applyNumberFormat="1" applyFont="1" applyBorder="1">
      <alignment vertical="center"/>
    </xf>
    <xf numFmtId="0" fontId="7" fillId="0" borderId="4" xfId="5" applyNumberFormat="1" applyFont="1" applyBorder="1">
      <alignment vertical="center"/>
    </xf>
    <xf numFmtId="178" fontId="7" fillId="0" borderId="4" xfId="5" applyNumberFormat="1" applyFont="1" applyBorder="1">
      <alignment vertical="center"/>
    </xf>
    <xf numFmtId="178" fontId="6" fillId="0" borderId="4" xfId="5" applyNumberFormat="1" applyFont="1" applyBorder="1">
      <alignment vertical="center"/>
    </xf>
    <xf numFmtId="0" fontId="6" fillId="0" borderId="0" xfId="5" applyNumberFormat="1" applyFont="1">
      <alignment vertical="center"/>
    </xf>
    <xf numFmtId="0" fontId="1" fillId="0" borderId="11" xfId="6" applyNumberFormat="1" applyFont="1" applyBorder="1">
      <alignment vertical="center"/>
    </xf>
    <xf numFmtId="0" fontId="2" fillId="0" borderId="0" xfId="6" applyNumberFormat="1" applyFont="1">
      <alignment vertical="center"/>
    </xf>
    <xf numFmtId="0" fontId="2" fillId="0" borderId="10" xfId="6" applyNumberFormat="1" applyFont="1" applyBorder="1">
      <alignment vertical="center"/>
    </xf>
    <xf numFmtId="0" fontId="2" fillId="0" borderId="10" xfId="6" applyNumberFormat="1" applyFont="1" applyBorder="1" applyAlignment="1">
      <alignment vertical="center" shrinkToFit="1"/>
    </xf>
    <xf numFmtId="177" fontId="2" fillId="0" borderId="10" xfId="6" applyNumberFormat="1" applyFont="1" applyBorder="1">
      <alignment vertical="center"/>
    </xf>
    <xf numFmtId="0" fontId="6" fillId="0" borderId="17" xfId="5" applyNumberFormat="1" applyFont="1" applyBorder="1">
      <alignment vertical="center"/>
    </xf>
    <xf numFmtId="0" fontId="7" fillId="0" borderId="0" xfId="6" applyNumberFormat="1" applyFont="1">
      <alignment vertical="center"/>
    </xf>
    <xf numFmtId="0" fontId="7" fillId="0" borderId="11" xfId="3" applyNumberFormat="1" applyFont="1" applyBorder="1">
      <alignment vertical="center"/>
    </xf>
    <xf numFmtId="0" fontId="7" fillId="0" borderId="10" xfId="3" applyNumberFormat="1" applyFont="1" applyBorder="1">
      <alignment vertical="center"/>
    </xf>
    <xf numFmtId="177" fontId="7" fillId="0" borderId="10" xfId="12" applyNumberFormat="1" applyFont="1" applyBorder="1">
      <alignment vertical="center"/>
    </xf>
    <xf numFmtId="0" fontId="1" fillId="0" borderId="11" xfId="8" applyNumberFormat="1" applyFont="1" applyBorder="1">
      <alignment vertical="center"/>
    </xf>
    <xf numFmtId="0" fontId="2" fillId="0" borderId="10" xfId="8" applyNumberFormat="1" applyFont="1" applyBorder="1">
      <alignment vertical="center"/>
    </xf>
    <xf numFmtId="177" fontId="2" fillId="0" borderId="10" xfId="8" applyNumberFormat="1" applyFont="1" applyBorder="1">
      <alignment vertical="center"/>
    </xf>
    <xf numFmtId="0" fontId="1" fillId="0" borderId="11" xfId="0" applyNumberFormat="1" applyFont="1" applyBorder="1">
      <alignment vertical="center"/>
    </xf>
    <xf numFmtId="0" fontId="2" fillId="0" borderId="10" xfId="0" applyNumberFormat="1" applyFont="1" applyBorder="1">
      <alignment vertical="center"/>
    </xf>
    <xf numFmtId="177" fontId="2" fillId="0" borderId="10" xfId="0" applyNumberFormat="1" applyFont="1" applyBorder="1">
      <alignment vertical="center"/>
    </xf>
    <xf numFmtId="41" fontId="2" fillId="0" borderId="10" xfId="3" applyNumberFormat="1" applyFont="1" applyBorder="1">
      <alignment vertical="center"/>
    </xf>
    <xf numFmtId="0" fontId="2" fillId="0" borderId="17" xfId="3" applyNumberFormat="1" applyFont="1" applyBorder="1">
      <alignment vertical="center"/>
    </xf>
    <xf numFmtId="0" fontId="2" fillId="0" borderId="2" xfId="3" applyNumberFormat="1" applyFont="1" applyBorder="1">
      <alignment vertical="center"/>
    </xf>
    <xf numFmtId="0" fontId="2" fillId="0" borderId="3" xfId="3" applyNumberFormat="1" applyFont="1" applyBorder="1">
      <alignment vertical="center"/>
    </xf>
    <xf numFmtId="0" fontId="2" fillId="0" borderId="12" xfId="8" applyNumberFormat="1" applyFont="1" applyBorder="1">
      <alignment vertical="center"/>
    </xf>
    <xf numFmtId="0" fontId="2" fillId="0" borderId="20" xfId="8" applyNumberFormat="1" applyFont="1" applyBorder="1">
      <alignment vertical="center"/>
    </xf>
    <xf numFmtId="0" fontId="2" fillId="0" borderId="9" xfId="8" applyNumberFormat="1" applyFont="1" applyBorder="1">
      <alignment vertical="center"/>
    </xf>
    <xf numFmtId="177" fontId="2" fillId="0" borderId="12" xfId="8" applyNumberFormat="1" applyFont="1" applyBorder="1">
      <alignment vertical="center"/>
    </xf>
    <xf numFmtId="0" fontId="2" fillId="0" borderId="17" xfId="8" applyNumberFormat="1" applyFont="1" applyBorder="1">
      <alignment vertical="center"/>
    </xf>
    <xf numFmtId="0" fontId="2" fillId="0" borderId="16" xfId="8" applyNumberFormat="1" applyFont="1" applyBorder="1">
      <alignment vertical="center"/>
    </xf>
    <xf numFmtId="0" fontId="2" fillId="0" borderId="6" xfId="8" applyNumberFormat="1" applyFont="1" applyBorder="1">
      <alignment vertical="center"/>
    </xf>
    <xf numFmtId="177" fontId="2" fillId="0" borderId="16" xfId="8" applyNumberFormat="1" applyFont="1" applyBorder="1">
      <alignment vertical="center"/>
    </xf>
    <xf numFmtId="177" fontId="2" fillId="0" borderId="17" xfId="8" applyNumberFormat="1" applyFont="1" applyBorder="1">
      <alignment vertical="center"/>
    </xf>
    <xf numFmtId="183" fontId="2" fillId="0" borderId="2" xfId="0" applyNumberFormat="1" applyFont="1" applyBorder="1">
      <alignment vertical="center"/>
    </xf>
    <xf numFmtId="183" fontId="4" fillId="2" borderId="8" xfId="0" applyNumberFormat="1" applyFont="1" applyFill="1" applyBorder="1" applyAlignment="1">
      <alignment horizontal="center" vertical="center"/>
    </xf>
    <xf numFmtId="179" fontId="2" fillId="0" borderId="0" xfId="0" applyNumberFormat="1" applyFont="1">
      <alignment vertical="center"/>
    </xf>
    <xf numFmtId="0" fontId="5" fillId="0" borderId="10" xfId="3" applyNumberFormat="1" applyFont="1" applyBorder="1">
      <alignment vertical="center"/>
    </xf>
    <xf numFmtId="177" fontId="3" fillId="0" borderId="10" xfId="4" applyNumberFormat="1" applyFont="1" applyBorder="1">
      <alignment vertical="center"/>
    </xf>
    <xf numFmtId="0" fontId="5" fillId="0" borderId="19" xfId="3" applyNumberFormat="1" applyFont="1" applyBorder="1">
      <alignment vertical="center"/>
    </xf>
    <xf numFmtId="0" fontId="3" fillId="0" borderId="10" xfId="5" applyNumberFormat="1" applyFont="1" applyBorder="1">
      <alignment vertical="center"/>
    </xf>
    <xf numFmtId="0" fontId="3" fillId="0" borderId="20" xfId="5" applyNumberFormat="1" applyFont="1" applyBorder="1">
      <alignment vertical="center"/>
    </xf>
    <xf numFmtId="0" fontId="1" fillId="0" borderId="0" xfId="5" applyNumberFormat="1" applyFont="1">
      <alignment vertical="center"/>
    </xf>
    <xf numFmtId="0" fontId="4" fillId="3" borderId="2" xfId="0" applyNumberFormat="1" applyFont="1" applyFill="1" applyBorder="1" applyAlignment="1">
      <alignment horizontal="center" vertical="center"/>
    </xf>
    <xf numFmtId="0" fontId="2" fillId="0" borderId="0" xfId="8" applyNumberFormat="1" applyFont="1">
      <alignment vertical="center"/>
    </xf>
    <xf numFmtId="0" fontId="1" fillId="0" borderId="28" xfId="3" applyNumberFormat="1" applyFont="1" applyBorder="1">
      <alignment vertical="center"/>
    </xf>
    <xf numFmtId="0" fontId="2" fillId="0" borderId="29" xfId="3" applyNumberFormat="1" applyFont="1" applyBorder="1">
      <alignment vertical="center"/>
    </xf>
    <xf numFmtId="0" fontId="2" fillId="0" borderId="1" xfId="3" applyNumberFormat="1" applyFont="1" applyBorder="1">
      <alignment vertical="center"/>
    </xf>
    <xf numFmtId="177" fontId="2" fillId="0" borderId="1" xfId="3" applyNumberFormat="1" applyFont="1" applyBorder="1">
      <alignment vertical="center"/>
    </xf>
    <xf numFmtId="0" fontId="17" fillId="0" borderId="30" xfId="3" applyNumberFormat="1" applyFont="1" applyBorder="1">
      <alignment vertical="center"/>
    </xf>
    <xf numFmtId="0" fontId="1" fillId="0" borderId="31" xfId="3" applyNumberFormat="1" applyFont="1" applyBorder="1">
      <alignment vertical="center"/>
    </xf>
    <xf numFmtId="177" fontId="2" fillId="0" borderId="3" xfId="3" applyNumberFormat="1" applyFont="1" applyBorder="1">
      <alignment vertical="center"/>
    </xf>
    <xf numFmtId="0" fontId="7" fillId="0" borderId="2" xfId="3" applyNumberFormat="1" applyFont="1" applyBorder="1">
      <alignment vertical="center"/>
    </xf>
    <xf numFmtId="0" fontId="17" fillId="0" borderId="13" xfId="3" applyNumberFormat="1" applyFont="1" applyBorder="1">
      <alignment vertical="center"/>
    </xf>
    <xf numFmtId="0" fontId="7" fillId="0" borderId="31" xfId="3" applyNumberFormat="1" applyFont="1" applyBorder="1">
      <alignment vertical="center"/>
    </xf>
    <xf numFmtId="0" fontId="7" fillId="0" borderId="3" xfId="3" applyNumberFormat="1" applyFont="1" applyBorder="1">
      <alignment vertical="center"/>
    </xf>
    <xf numFmtId="177" fontId="7" fillId="0" borderId="3" xfId="12" applyNumberFormat="1" applyFont="1" applyBorder="1">
      <alignment vertical="center"/>
    </xf>
    <xf numFmtId="0" fontId="6" fillId="2" borderId="31" xfId="0" applyNumberFormat="1" applyFont="1" applyFill="1" applyBorder="1" applyAlignment="1">
      <alignment horizontal="left" vertical="center" wrapText="1"/>
    </xf>
    <xf numFmtId="0" fontId="5" fillId="6" borderId="32" xfId="3" applyNumberFormat="1" applyFont="1" applyFill="1" applyBorder="1" applyAlignment="1">
      <alignment horizontal="left" vertical="center"/>
    </xf>
    <xf numFmtId="0" fontId="5" fillId="4" borderId="33" xfId="2" applyNumberFormat="1" applyFont="1" applyFill="1" applyBorder="1" applyAlignment="1">
      <alignment horizontal="left" vertical="center"/>
    </xf>
    <xf numFmtId="0" fontId="5" fillId="5" borderId="32" xfId="2" applyNumberFormat="1" applyFont="1" applyFill="1" applyBorder="1" applyAlignment="1">
      <alignment horizontal="left" vertical="center"/>
    </xf>
    <xf numFmtId="0" fontId="5" fillId="0" borderId="23" xfId="3" applyNumberFormat="1" applyFont="1" applyBorder="1">
      <alignment vertical="center"/>
    </xf>
    <xf numFmtId="0" fontId="3" fillId="0" borderId="23" xfId="3" applyNumberFormat="1" applyFont="1" applyBorder="1">
      <alignment vertical="center"/>
    </xf>
    <xf numFmtId="178" fontId="7" fillId="0" borderId="0" xfId="0" applyNumberFormat="1" applyFont="1" applyAlignment="1">
      <alignment vertical="center" shrinkToFit="1"/>
    </xf>
    <xf numFmtId="41" fontId="3" fillId="0" borderId="0" xfId="0" applyNumberFormat="1" applyFont="1" applyAlignment="1">
      <alignment vertical="center" shrinkToFit="1"/>
    </xf>
    <xf numFmtId="176" fontId="3" fillId="0" borderId="0" xfId="0" applyNumberFormat="1" applyFont="1" applyAlignment="1">
      <alignment vertical="center" shrinkToFit="1"/>
    </xf>
    <xf numFmtId="176" fontId="3" fillId="0" borderId="0" xfId="0" applyNumberFormat="1" applyFont="1">
      <alignment vertical="center"/>
    </xf>
    <xf numFmtId="0" fontId="5" fillId="0" borderId="23" xfId="0" applyNumberFormat="1" applyFont="1" applyBorder="1">
      <alignment vertical="center"/>
    </xf>
    <xf numFmtId="0" fontId="3" fillId="0" borderId="23" xfId="0" applyNumberFormat="1" applyFont="1" applyBorder="1">
      <alignment vertical="center"/>
    </xf>
    <xf numFmtId="177" fontId="3" fillId="0" borderId="0" xfId="0" applyNumberFormat="1" applyFont="1">
      <alignment vertical="center"/>
    </xf>
    <xf numFmtId="177" fontId="3" fillId="0" borderId="2" xfId="0" applyNumberFormat="1" applyFont="1" applyBorder="1">
      <alignment vertical="center"/>
    </xf>
    <xf numFmtId="177" fontId="3" fillId="0" borderId="2" xfId="0" applyNumberFormat="1" applyFont="1" applyBorder="1" applyAlignment="1">
      <alignment horizontal="right" vertical="center"/>
    </xf>
    <xf numFmtId="41" fontId="3" fillId="0" borderId="2" xfId="0" applyNumberFormat="1" applyFont="1" applyBorder="1" applyAlignment="1">
      <alignment vertical="center" shrinkToFit="1"/>
    </xf>
    <xf numFmtId="176" fontId="3" fillId="0" borderId="2" xfId="0" applyNumberFormat="1" applyFont="1" applyBorder="1" applyAlignment="1">
      <alignment vertical="center" shrinkToFit="1"/>
    </xf>
    <xf numFmtId="176" fontId="3" fillId="0" borderId="2" xfId="0" applyNumberFormat="1" applyFont="1" applyBorder="1">
      <alignment vertical="center"/>
    </xf>
    <xf numFmtId="178" fontId="3" fillId="0" borderId="2" xfId="0" applyNumberFormat="1" applyFont="1" applyBorder="1" applyAlignment="1">
      <alignment horizontal="right" vertical="center"/>
    </xf>
    <xf numFmtId="177" fontId="5" fillId="2" borderId="1" xfId="0" applyNumberFormat="1" applyFont="1" applyFill="1" applyBorder="1" applyAlignment="1">
      <alignment horizontal="center" vertical="center" shrinkToFit="1"/>
    </xf>
    <xf numFmtId="177" fontId="5" fillId="2" borderId="29" xfId="0" applyNumberFormat="1" applyFont="1" applyFill="1" applyBorder="1" applyAlignment="1">
      <alignment horizontal="center" vertical="center" wrapText="1" shrinkToFit="1"/>
    </xf>
    <xf numFmtId="177" fontId="5" fillId="2" borderId="34" xfId="0" applyNumberFormat="1" applyFont="1" applyFill="1" applyBorder="1" applyAlignment="1">
      <alignment horizontal="center" vertical="center"/>
    </xf>
    <xf numFmtId="177" fontId="5" fillId="2" borderId="3" xfId="0" applyNumberFormat="1" applyFont="1" applyFill="1" applyBorder="1" applyAlignment="1">
      <alignment horizontal="center" vertical="center"/>
    </xf>
    <xf numFmtId="177" fontId="5" fillId="2" borderId="2" xfId="0" applyNumberFormat="1" applyFont="1" applyFill="1" applyBorder="1" applyAlignment="1">
      <alignment horizontal="center" vertical="center"/>
    </xf>
    <xf numFmtId="177" fontId="5" fillId="2" borderId="35" xfId="0" applyNumberFormat="1" applyFont="1" applyFill="1" applyBorder="1" applyAlignment="1">
      <alignment horizontal="center" vertical="center"/>
    </xf>
    <xf numFmtId="177" fontId="5" fillId="3" borderId="36" xfId="0" applyNumberFormat="1" applyFont="1" applyFill="1" applyBorder="1" applyAlignment="1">
      <alignment vertical="center" shrinkToFit="1"/>
    </xf>
    <xf numFmtId="0" fontId="5" fillId="3" borderId="37" xfId="0" applyNumberFormat="1" applyFont="1" applyFill="1" applyBorder="1" applyAlignment="1">
      <alignment horizontal="center" vertical="center"/>
    </xf>
    <xf numFmtId="182" fontId="5" fillId="3" borderId="38" xfId="0" applyNumberFormat="1" applyFont="1" applyFill="1" applyBorder="1" applyAlignment="1">
      <alignment horizontal="center" vertical="center"/>
    </xf>
    <xf numFmtId="41" fontId="5" fillId="3" borderId="38" xfId="0" applyNumberFormat="1" applyFont="1" applyFill="1" applyBorder="1" applyAlignment="1">
      <alignment horizontal="center" vertical="center" shrinkToFit="1"/>
    </xf>
    <xf numFmtId="0" fontId="5" fillId="3" borderId="38" xfId="0" applyNumberFormat="1" applyFont="1" applyFill="1" applyBorder="1" applyAlignment="1">
      <alignment horizontal="center" vertical="center" shrinkToFit="1"/>
    </xf>
    <xf numFmtId="0" fontId="5" fillId="3" borderId="38" xfId="0" applyNumberFormat="1" applyFont="1" applyFill="1" applyBorder="1" applyAlignment="1">
      <alignment horizontal="center" vertical="center"/>
    </xf>
    <xf numFmtId="178" fontId="6" fillId="3" borderId="38" xfId="0" applyNumberFormat="1" applyFont="1" applyFill="1" applyBorder="1" applyAlignment="1">
      <alignment horizontal="center" vertical="center" shrinkToFit="1"/>
    </xf>
    <xf numFmtId="0" fontId="5" fillId="3" borderId="13" xfId="0" applyNumberFormat="1" applyFont="1" applyFill="1" applyBorder="1" applyAlignment="1">
      <alignment horizontal="center" vertical="center"/>
    </xf>
    <xf numFmtId="177" fontId="5" fillId="6" borderId="26" xfId="4" applyNumberFormat="1" applyFont="1" applyFill="1" applyBorder="1">
      <alignment vertical="center"/>
    </xf>
    <xf numFmtId="0" fontId="5" fillId="6" borderId="26" xfId="3" applyNumberFormat="1" applyFont="1" applyFill="1" applyBorder="1" applyAlignment="1">
      <alignment horizontal="center" vertical="center"/>
    </xf>
    <xf numFmtId="0" fontId="5" fillId="6" borderId="8" xfId="3" applyNumberFormat="1" applyFont="1" applyFill="1" applyBorder="1" applyAlignment="1">
      <alignment horizontal="center" vertical="center"/>
    </xf>
    <xf numFmtId="0" fontId="5" fillId="6" borderId="8" xfId="3" applyNumberFormat="1" applyFont="1" applyFill="1" applyBorder="1" applyAlignment="1">
      <alignment horizontal="center" vertical="center" shrinkToFit="1"/>
    </xf>
    <xf numFmtId="41" fontId="5" fillId="6" borderId="8" xfId="3" applyNumberFormat="1" applyFont="1" applyFill="1" applyBorder="1" applyAlignment="1">
      <alignment horizontal="center" vertical="center" shrinkToFit="1"/>
    </xf>
    <xf numFmtId="178" fontId="6" fillId="6" borderId="8" xfId="3" applyNumberFormat="1" applyFont="1" applyFill="1" applyBorder="1" applyAlignment="1">
      <alignment horizontal="center" vertical="center" shrinkToFit="1"/>
    </xf>
    <xf numFmtId="0" fontId="5" fillId="6" borderId="24" xfId="3" applyNumberFormat="1" applyFont="1" applyFill="1" applyBorder="1" applyAlignment="1">
      <alignment horizontal="center" vertical="center"/>
    </xf>
    <xf numFmtId="177" fontId="5" fillId="4" borderId="26" xfId="2" applyNumberFormat="1" applyFont="1" applyFill="1" applyBorder="1">
      <alignment vertical="center"/>
    </xf>
    <xf numFmtId="0" fontId="5" fillId="4" borderId="26" xfId="2" applyNumberFormat="1" applyFont="1" applyFill="1" applyBorder="1" applyAlignment="1">
      <alignment horizontal="center" vertical="center"/>
    </xf>
    <xf numFmtId="177" fontId="5" fillId="4" borderId="8" xfId="2" applyNumberFormat="1" applyFont="1" applyFill="1" applyBorder="1" applyAlignment="1">
      <alignment horizontal="center" vertical="center"/>
    </xf>
    <xf numFmtId="0" fontId="5" fillId="4" borderId="8" xfId="2" applyNumberFormat="1" applyFont="1" applyFill="1" applyBorder="1" applyAlignment="1">
      <alignment horizontal="center" vertical="center"/>
    </xf>
    <xf numFmtId="0" fontId="5" fillId="4" borderId="8" xfId="2" applyNumberFormat="1" applyFont="1" applyFill="1" applyBorder="1" applyAlignment="1">
      <alignment horizontal="center" vertical="center" shrinkToFit="1"/>
    </xf>
    <xf numFmtId="41" fontId="5" fillId="4" borderId="8" xfId="2" applyNumberFormat="1" applyFont="1" applyFill="1" applyBorder="1" applyAlignment="1">
      <alignment horizontal="center" vertical="center" shrinkToFit="1"/>
    </xf>
    <xf numFmtId="178" fontId="6" fillId="4" borderId="8" xfId="2" applyNumberFormat="1" applyFont="1" applyFill="1" applyBorder="1" applyAlignment="1">
      <alignment horizontal="center" vertical="center" shrinkToFit="1"/>
    </xf>
    <xf numFmtId="0" fontId="5" fillId="4" borderId="24" xfId="2" applyNumberFormat="1" applyFont="1" applyFill="1" applyBorder="1" applyAlignment="1">
      <alignment horizontal="center" vertical="center"/>
    </xf>
    <xf numFmtId="177" fontId="5" fillId="5" borderId="20" xfId="2" applyNumberFormat="1" applyFont="1" applyFill="1" applyBorder="1">
      <alignment vertical="center"/>
    </xf>
    <xf numFmtId="0" fontId="5" fillId="5" borderId="20" xfId="2" applyNumberFormat="1" applyFont="1" applyFill="1" applyBorder="1" applyAlignment="1">
      <alignment horizontal="center" vertical="center"/>
    </xf>
    <xf numFmtId="177" fontId="5" fillId="5" borderId="5" xfId="2" applyNumberFormat="1" applyFont="1" applyFill="1" applyBorder="1" applyAlignment="1">
      <alignment horizontal="center" vertical="center"/>
    </xf>
    <xf numFmtId="0" fontId="5" fillId="5" borderId="5" xfId="2" applyNumberFormat="1" applyFont="1" applyFill="1" applyBorder="1" applyAlignment="1">
      <alignment horizontal="center" vertical="center"/>
    </xf>
    <xf numFmtId="0" fontId="5" fillId="5" borderId="5" xfId="2" applyNumberFormat="1" applyFont="1" applyFill="1" applyBorder="1" applyAlignment="1">
      <alignment horizontal="center" vertical="center" shrinkToFit="1"/>
    </xf>
    <xf numFmtId="41" fontId="5" fillId="5" borderId="5" xfId="2" applyNumberFormat="1" applyFont="1" applyFill="1" applyBorder="1" applyAlignment="1">
      <alignment horizontal="center" vertical="center" shrinkToFit="1"/>
    </xf>
    <xf numFmtId="178" fontId="6" fillId="5" borderId="5" xfId="2" applyNumberFormat="1" applyFont="1" applyFill="1" applyBorder="1" applyAlignment="1">
      <alignment horizontal="center" vertical="center" shrinkToFit="1"/>
    </xf>
    <xf numFmtId="0" fontId="5" fillId="5" borderId="22" xfId="2" applyNumberFormat="1" applyFont="1" applyFill="1" applyBorder="1" applyAlignment="1">
      <alignment horizontal="center" vertical="center"/>
    </xf>
    <xf numFmtId="0" fontId="3" fillId="0" borderId="19" xfId="0" applyNumberFormat="1" applyFont="1" applyBorder="1">
      <alignment vertical="center"/>
    </xf>
    <xf numFmtId="0" fontId="19" fillId="0" borderId="0" xfId="0" applyNumberFormat="1" applyFont="1">
      <alignment vertical="center"/>
    </xf>
    <xf numFmtId="0" fontId="4" fillId="2" borderId="39" xfId="0" applyNumberFormat="1" applyFont="1" applyFill="1" applyBorder="1" applyAlignment="1">
      <alignment horizontal="center" vertical="center" wrapText="1"/>
    </xf>
    <xf numFmtId="0" fontId="4" fillId="2" borderId="40" xfId="0" applyNumberFormat="1" applyFont="1" applyFill="1" applyBorder="1" applyAlignment="1">
      <alignment horizontal="center" vertical="center" wrapText="1"/>
    </xf>
    <xf numFmtId="0" fontId="4" fillId="2" borderId="41" xfId="0" applyNumberFormat="1" applyFont="1" applyFill="1" applyBorder="1" applyAlignment="1">
      <alignment horizontal="center" vertical="center" wrapText="1"/>
    </xf>
    <xf numFmtId="0" fontId="4" fillId="2" borderId="12" xfId="0" applyNumberFormat="1" applyFont="1" applyFill="1" applyBorder="1" applyAlignment="1">
      <alignment horizontal="center" vertical="center" wrapText="1"/>
    </xf>
    <xf numFmtId="0" fontId="2" fillId="0" borderId="12" xfId="0" applyNumberFormat="1" applyFont="1" applyBorder="1" applyAlignment="1">
      <alignment horizontal="center" vertical="center" wrapText="1"/>
    </xf>
    <xf numFmtId="0" fontId="2" fillId="0" borderId="12" xfId="0" applyNumberFormat="1" applyFont="1" applyBorder="1" applyAlignment="1">
      <alignment horizontal="left" vertical="center" wrapText="1"/>
    </xf>
    <xf numFmtId="177" fontId="2" fillId="0" borderId="12" xfId="0" applyNumberFormat="1" applyFont="1" applyBorder="1" applyAlignment="1">
      <alignment horizontal="center" vertical="center" wrapText="1"/>
    </xf>
    <xf numFmtId="177" fontId="2" fillId="0" borderId="12" xfId="0" applyNumberFormat="1" applyFont="1" applyBorder="1" applyAlignment="1">
      <alignment horizontal="right" vertical="center" wrapText="1"/>
    </xf>
    <xf numFmtId="41" fontId="2" fillId="0" borderId="42" xfId="0" applyNumberFormat="1" applyFont="1" applyBorder="1" applyAlignment="1">
      <alignment horizontal="center" vertical="center" wrapText="1"/>
    </xf>
    <xf numFmtId="3" fontId="1" fillId="0" borderId="0" xfId="0" applyNumberFormat="1" applyFont="1">
      <alignment vertical="center"/>
    </xf>
    <xf numFmtId="0" fontId="2" fillId="0" borderId="12" xfId="0" applyNumberFormat="1" applyFont="1" applyBorder="1" applyAlignment="1">
      <alignment horizontal="left" vertical="center" wrapText="1"/>
    </xf>
    <xf numFmtId="41" fontId="2" fillId="0" borderId="12" xfId="0" applyNumberFormat="1" applyFont="1" applyBorder="1" applyAlignment="1">
      <alignment horizontal="center" vertical="center" wrapText="1"/>
    </xf>
    <xf numFmtId="41" fontId="2" fillId="0" borderId="12" xfId="0" applyNumberFormat="1" applyFont="1" applyBorder="1" applyAlignment="1">
      <alignment horizontal="right" vertical="center" wrapText="1"/>
    </xf>
    <xf numFmtId="41" fontId="2" fillId="0" borderId="42" xfId="0" applyNumberFormat="1" applyFont="1" applyBorder="1" applyAlignment="1">
      <alignment horizontal="center" vertical="center" wrapText="1"/>
    </xf>
    <xf numFmtId="0" fontId="2" fillId="0" borderId="43" xfId="0" applyNumberFormat="1" applyFont="1" applyBorder="1" applyAlignment="1">
      <alignment horizontal="center" vertical="center" wrapText="1"/>
    </xf>
    <xf numFmtId="0" fontId="2" fillId="0" borderId="43" xfId="0" applyNumberFormat="1" applyFont="1" applyBorder="1" applyAlignment="1">
      <alignment horizontal="left" vertical="center" wrapText="1"/>
    </xf>
    <xf numFmtId="41" fontId="2" fillId="0" borderId="43" xfId="0" applyNumberFormat="1" applyFont="1" applyBorder="1" applyAlignment="1">
      <alignment horizontal="center" vertical="center" wrapText="1"/>
    </xf>
    <xf numFmtId="41" fontId="2" fillId="0" borderId="43" xfId="0" applyNumberFormat="1" applyFont="1" applyBorder="1" applyAlignment="1">
      <alignment horizontal="right" vertical="center" wrapText="1"/>
    </xf>
    <xf numFmtId="41" fontId="2" fillId="0" borderId="44" xfId="0" applyNumberFormat="1" applyFont="1" applyBorder="1" applyAlignment="1">
      <alignment horizontal="center" vertical="center" wrapText="1"/>
    </xf>
    <xf numFmtId="0" fontId="19" fillId="0" borderId="0" xfId="0" applyNumberFormat="1" applyFont="1">
      <alignment vertical="center"/>
    </xf>
    <xf numFmtId="0" fontId="19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vertical="center" shrinkToFit="1"/>
    </xf>
    <xf numFmtId="177" fontId="4" fillId="0" borderId="0" xfId="0" applyNumberFormat="1" applyFont="1" applyAlignment="1">
      <alignment horizontal="right" vertical="center"/>
    </xf>
    <xf numFmtId="0" fontId="1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vertical="center" shrinkToFit="1"/>
    </xf>
    <xf numFmtId="177" fontId="2" fillId="0" borderId="0" xfId="0" applyNumberFormat="1" applyFont="1" applyAlignment="1">
      <alignment horizontal="right" vertical="center"/>
    </xf>
    <xf numFmtId="177" fontId="4" fillId="2" borderId="40" xfId="0" applyNumberFormat="1" applyFont="1" applyFill="1" applyBorder="1" applyAlignment="1">
      <alignment horizontal="center" vertical="center" shrinkToFit="1"/>
    </xf>
    <xf numFmtId="177" fontId="4" fillId="2" borderId="40" xfId="0" applyNumberFormat="1" applyFont="1" applyFill="1" applyBorder="1" applyAlignment="1">
      <alignment horizontal="center" vertical="center" wrapText="1"/>
    </xf>
    <xf numFmtId="0" fontId="4" fillId="0" borderId="14" xfId="0" applyNumberFormat="1" applyFont="1" applyBorder="1" applyAlignment="1">
      <alignment horizontal="center" vertical="center" wrapText="1"/>
    </xf>
    <xf numFmtId="0" fontId="4" fillId="0" borderId="12" xfId="0" applyNumberFormat="1" applyFont="1" applyBorder="1" applyAlignment="1">
      <alignment horizontal="center" vertical="center" wrapText="1"/>
    </xf>
    <xf numFmtId="177" fontId="4" fillId="0" borderId="12" xfId="0" applyNumberFormat="1" applyFont="1" applyBorder="1" applyAlignment="1">
      <alignment horizontal="center" vertical="center" wrapText="1"/>
    </xf>
    <xf numFmtId="177" fontId="4" fillId="0" borderId="12" xfId="0" applyNumberFormat="1" applyFont="1" applyBorder="1" applyAlignment="1">
      <alignment vertical="center" shrinkToFit="1"/>
    </xf>
    <xf numFmtId="177" fontId="4" fillId="0" borderId="12" xfId="0" applyNumberFormat="1" applyFont="1" applyBorder="1" applyAlignment="1">
      <alignment horizontal="right" vertical="center" wrapText="1"/>
    </xf>
    <xf numFmtId="41" fontId="1" fillId="0" borderId="42" xfId="0" applyNumberFormat="1" applyFont="1" applyBorder="1" applyAlignment="1">
      <alignment horizontal="center" vertical="center"/>
    </xf>
    <xf numFmtId="184" fontId="19" fillId="0" borderId="0" xfId="0" applyNumberFormat="1" applyFont="1">
      <alignment vertical="center"/>
    </xf>
    <xf numFmtId="0" fontId="20" fillId="0" borderId="0" xfId="0" applyNumberFormat="1" applyFont="1" applyAlignment="1">
      <alignment horizontal="right" vertical="center" indent="4"/>
    </xf>
    <xf numFmtId="0" fontId="1" fillId="0" borderId="0" xfId="0" applyNumberFormat="1" applyFont="1" applyAlignment="1">
      <alignment horizontal="center" vertical="center"/>
    </xf>
    <xf numFmtId="184" fontId="1" fillId="0" borderId="0" xfId="0" applyNumberFormat="1" applyFont="1">
      <alignment vertical="center"/>
    </xf>
    <xf numFmtId="0" fontId="1" fillId="0" borderId="0" xfId="0" applyNumberFormat="1" applyFont="1" applyAlignment="1">
      <alignment horizontal="right" vertical="center"/>
    </xf>
    <xf numFmtId="0" fontId="5" fillId="2" borderId="45" xfId="0" applyNumberFormat="1" applyFont="1" applyFill="1" applyBorder="1" applyAlignment="1">
      <alignment horizontal="center" vertical="center" wrapText="1"/>
    </xf>
    <xf numFmtId="0" fontId="5" fillId="2" borderId="46" xfId="0" applyNumberFormat="1" applyFont="1" applyFill="1" applyBorder="1" applyAlignment="1">
      <alignment horizontal="center" vertical="center" wrapText="1"/>
    </xf>
    <xf numFmtId="0" fontId="5" fillId="2" borderId="23" xfId="0" applyNumberFormat="1" applyFont="1" applyFill="1" applyBorder="1" applyAlignment="1">
      <alignment horizontal="center" vertical="center" wrapText="1"/>
    </xf>
    <xf numFmtId="0" fontId="5" fillId="2" borderId="18" xfId="0" applyNumberFormat="1" applyFont="1" applyFill="1" applyBorder="1" applyAlignment="1">
      <alignment horizontal="center" vertical="center" wrapText="1"/>
    </xf>
    <xf numFmtId="0" fontId="5" fillId="2" borderId="12" xfId="0" applyNumberFormat="1" applyFont="1" applyFill="1" applyBorder="1" applyAlignment="1">
      <alignment horizontal="center" vertical="center" wrapText="1"/>
    </xf>
    <xf numFmtId="0" fontId="5" fillId="2" borderId="42" xfId="0" applyNumberFormat="1" applyFont="1" applyFill="1" applyBorder="1" applyAlignment="1">
      <alignment horizontal="center" vertical="center" wrapText="1"/>
    </xf>
    <xf numFmtId="0" fontId="5" fillId="2" borderId="33" xfId="0" applyNumberFormat="1" applyFont="1" applyFill="1" applyBorder="1" applyAlignment="1">
      <alignment horizontal="center" vertical="center" wrapText="1"/>
    </xf>
    <xf numFmtId="0" fontId="5" fillId="2" borderId="27" xfId="0" applyNumberFormat="1" applyFont="1" applyFill="1" applyBorder="1" applyAlignment="1">
      <alignment horizontal="center" vertical="center" wrapText="1"/>
    </xf>
    <xf numFmtId="0" fontId="10" fillId="0" borderId="14" xfId="0" applyNumberFormat="1" applyFont="1" applyBorder="1" applyAlignment="1">
      <alignment horizontal="center" vertical="center" wrapText="1"/>
    </xf>
    <xf numFmtId="0" fontId="10" fillId="0" borderId="12" xfId="0" applyNumberFormat="1" applyFont="1" applyBorder="1" applyAlignment="1">
      <alignment horizontal="center" vertical="center" wrapText="1"/>
    </xf>
    <xf numFmtId="0" fontId="10" fillId="0" borderId="12" xfId="0" applyNumberFormat="1" applyFont="1" applyBorder="1" applyAlignment="1">
      <alignment horizontal="right" vertical="center" wrapText="1"/>
    </xf>
    <xf numFmtId="0" fontId="3" fillId="0" borderId="12" xfId="0" applyNumberFormat="1" applyFont="1" applyBorder="1" applyAlignment="1">
      <alignment horizontal="center" vertical="center" wrapText="1"/>
    </xf>
    <xf numFmtId="0" fontId="3" fillId="0" borderId="42" xfId="0" applyNumberFormat="1" applyFont="1" applyBorder="1" applyAlignment="1">
      <alignment horizontal="center" vertical="center" wrapText="1"/>
    </xf>
    <xf numFmtId="0" fontId="2" fillId="0" borderId="10" xfId="3" applyNumberFormat="1" applyFont="1" applyBorder="1" applyAlignment="1">
      <alignment vertical="center" shrinkToFit="1"/>
    </xf>
    <xf numFmtId="0" fontId="2" fillId="0" borderId="17" xfId="6" applyNumberFormat="1" applyFont="1" applyBorder="1">
      <alignment vertical="center"/>
    </xf>
    <xf numFmtId="0" fontId="6" fillId="0" borderId="20" xfId="0" applyNumberFormat="1" applyFont="1" applyBorder="1">
      <alignment vertical="center"/>
    </xf>
    <xf numFmtId="41" fontId="7" fillId="0" borderId="5" xfId="0" applyNumberFormat="1" applyFont="1" applyBorder="1" applyAlignment="1">
      <alignment horizontal="left" vertical="center" shrinkToFit="1"/>
    </xf>
    <xf numFmtId="178" fontId="7" fillId="0" borderId="5" xfId="0" applyNumberFormat="1" applyFont="1" applyBorder="1" applyAlignment="1">
      <alignment horizontal="center" vertical="center" shrinkToFit="1"/>
    </xf>
    <xf numFmtId="0" fontId="7" fillId="0" borderId="17" xfId="6" applyNumberFormat="1" applyFont="1" applyBorder="1">
      <alignment vertical="center"/>
    </xf>
    <xf numFmtId="0" fontId="7" fillId="0" borderId="7" xfId="3" applyNumberFormat="1" applyFont="1" applyBorder="1">
      <alignment vertical="center"/>
    </xf>
    <xf numFmtId="0" fontId="7" fillId="0" borderId="19" xfId="3" applyNumberFormat="1" applyFont="1" applyBorder="1">
      <alignment vertical="center"/>
    </xf>
    <xf numFmtId="0" fontId="7" fillId="0" borderId="19" xfId="6" applyNumberFormat="1" applyFont="1" applyBorder="1">
      <alignment vertical="center"/>
    </xf>
    <xf numFmtId="0" fontId="3" fillId="0" borderId="10" xfId="3" applyNumberFormat="1" applyFont="1" applyBorder="1">
      <alignment vertical="center"/>
    </xf>
    <xf numFmtId="0" fontId="3" fillId="0" borderId="0" xfId="3" applyNumberFormat="1" applyFont="1">
      <alignment vertical="center"/>
    </xf>
    <xf numFmtId="0" fontId="3" fillId="0" borderId="20" xfId="3" applyNumberFormat="1" applyFont="1" applyBorder="1">
      <alignment vertical="center"/>
    </xf>
    <xf numFmtId="0" fontId="3" fillId="0" borderId="9" xfId="3" applyNumberFormat="1" applyFont="1" applyBorder="1">
      <alignment vertical="center"/>
    </xf>
    <xf numFmtId="177" fontId="3" fillId="0" borderId="12" xfId="4" applyNumberFormat="1" applyFont="1" applyBorder="1">
      <alignment vertical="center"/>
    </xf>
    <xf numFmtId="177" fontId="3" fillId="0" borderId="20" xfId="3" applyNumberFormat="1" applyFont="1" applyBorder="1">
      <alignment vertical="center"/>
    </xf>
    <xf numFmtId="0" fontId="6" fillId="0" borderId="20" xfId="3" applyNumberFormat="1" applyFont="1" applyBorder="1">
      <alignment vertical="center"/>
    </xf>
    <xf numFmtId="0" fontId="7" fillId="0" borderId="5" xfId="3" applyNumberFormat="1" applyFont="1" applyBorder="1" applyAlignment="1">
      <alignment vertical="center" shrinkToFit="1"/>
    </xf>
    <xf numFmtId="176" fontId="7" fillId="0" borderId="5" xfId="3" applyNumberFormat="1" applyFont="1" applyBorder="1" applyAlignment="1">
      <alignment vertical="center" shrinkToFit="1"/>
    </xf>
    <xf numFmtId="176" fontId="7" fillId="0" borderId="5" xfId="3" applyNumberFormat="1" applyFont="1" applyBorder="1">
      <alignment vertical="center"/>
    </xf>
    <xf numFmtId="41" fontId="7" fillId="0" borderId="5" xfId="3" applyNumberFormat="1" applyFont="1" applyBorder="1" applyAlignment="1">
      <alignment vertical="center" shrinkToFit="1"/>
    </xf>
    <xf numFmtId="178" fontId="6" fillId="0" borderId="5" xfId="3" applyNumberFormat="1" applyFont="1" applyBorder="1" applyAlignment="1">
      <alignment vertical="center" shrinkToFit="1"/>
    </xf>
    <xf numFmtId="0" fontId="7" fillId="0" borderId="22" xfId="3" applyNumberFormat="1" applyFont="1" applyBorder="1">
      <alignment vertical="center"/>
    </xf>
    <xf numFmtId="0" fontId="21" fillId="0" borderId="0" xfId="3" applyNumberFormat="1" applyFont="1">
      <alignment vertical="center"/>
    </xf>
    <xf numFmtId="0" fontId="3" fillId="0" borderId="6" xfId="3" applyNumberFormat="1" applyFont="1" applyBorder="1">
      <alignment vertical="center"/>
    </xf>
    <xf numFmtId="0" fontId="3" fillId="0" borderId="16" xfId="3" applyNumberFormat="1" applyFont="1" applyBorder="1">
      <alignment vertical="center"/>
    </xf>
    <xf numFmtId="177" fontId="3" fillId="0" borderId="10" xfId="3" applyNumberFormat="1" applyFont="1" applyBorder="1">
      <alignment vertical="center"/>
    </xf>
    <xf numFmtId="177" fontId="3" fillId="0" borderId="17" xfId="3" applyNumberFormat="1" applyFont="1" applyBorder="1">
      <alignment vertical="center"/>
    </xf>
    <xf numFmtId="0" fontId="6" fillId="0" borderId="19" xfId="3" applyNumberFormat="1" applyFont="1" applyBorder="1">
      <alignment vertical="center"/>
    </xf>
    <xf numFmtId="0" fontId="2" fillId="0" borderId="10" xfId="6" applyNumberFormat="1" applyFont="1" applyBorder="1" applyAlignment="1">
      <alignment horizontal="left" vertical="center"/>
    </xf>
    <xf numFmtId="0" fontId="3" fillId="0" borderId="16" xfId="6" applyNumberFormat="1" applyFont="1" applyBorder="1" applyAlignment="1">
      <alignment vertical="center" wrapText="1"/>
    </xf>
    <xf numFmtId="177" fontId="3" fillId="0" borderId="16" xfId="3" applyNumberFormat="1" applyFont="1" applyBorder="1">
      <alignment vertical="center"/>
    </xf>
    <xf numFmtId="177" fontId="3" fillId="0" borderId="16" xfId="6" applyNumberFormat="1" applyFont="1" applyBorder="1">
      <alignment vertical="center"/>
    </xf>
    <xf numFmtId="177" fontId="3" fillId="0" borderId="6" xfId="6" applyNumberFormat="1" applyFont="1" applyBorder="1">
      <alignment vertical="center"/>
    </xf>
    <xf numFmtId="0" fontId="7" fillId="0" borderId="7" xfId="6" applyNumberFormat="1" applyFont="1" applyBorder="1">
      <alignment vertical="center"/>
    </xf>
    <xf numFmtId="0" fontId="22" fillId="0" borderId="0" xfId="6" applyNumberFormat="1" applyFont="1">
      <alignment vertical="center"/>
    </xf>
    <xf numFmtId="0" fontId="3" fillId="0" borderId="17" xfId="6" applyNumberFormat="1" applyFont="1" applyBorder="1">
      <alignment vertical="center"/>
    </xf>
    <xf numFmtId="177" fontId="3" fillId="0" borderId="10" xfId="6" applyNumberFormat="1" applyFont="1" applyBorder="1">
      <alignment vertical="center"/>
    </xf>
    <xf numFmtId="177" fontId="3" fillId="0" borderId="17" xfId="6" applyNumberFormat="1" applyFont="1" applyBorder="1">
      <alignment vertical="center"/>
    </xf>
    <xf numFmtId="0" fontId="3" fillId="0" borderId="11" xfId="6" applyNumberFormat="1" applyFont="1" applyBorder="1">
      <alignment vertical="center"/>
    </xf>
    <xf numFmtId="0" fontId="3" fillId="0" borderId="10" xfId="6" applyNumberFormat="1" applyFont="1" applyBorder="1">
      <alignment vertical="center"/>
    </xf>
    <xf numFmtId="0" fontId="3" fillId="0" borderId="10" xfId="6" applyNumberFormat="1" applyFont="1" applyBorder="1" applyAlignment="1">
      <alignment horizontal="left" vertical="center"/>
    </xf>
    <xf numFmtId="0" fontId="1" fillId="0" borderId="0" xfId="6" applyNumberFormat="1" applyFont="1">
      <alignment vertical="center"/>
    </xf>
    <xf numFmtId="177" fontId="3" fillId="0" borderId="12" xfId="3" applyNumberFormat="1" applyFont="1" applyBorder="1">
      <alignment vertical="center"/>
    </xf>
    <xf numFmtId="0" fontId="3" fillId="0" borderId="11" xfId="3" applyNumberFormat="1" applyFont="1" applyBorder="1">
      <alignment vertical="center"/>
    </xf>
    <xf numFmtId="177" fontId="5" fillId="0" borderId="6" xfId="3" applyNumberFormat="1" applyFont="1" applyBorder="1" applyAlignment="1">
      <alignment horizontal="right" vertical="center"/>
    </xf>
    <xf numFmtId="0" fontId="5" fillId="0" borderId="15" xfId="3" applyNumberFormat="1" applyFont="1" applyBorder="1">
      <alignment vertical="center"/>
    </xf>
    <xf numFmtId="0" fontId="5" fillId="0" borderId="6" xfId="3" applyNumberFormat="1" applyFont="1" applyBorder="1">
      <alignment vertical="center"/>
    </xf>
    <xf numFmtId="0" fontId="5" fillId="0" borderId="4" xfId="3" applyNumberFormat="1" applyFont="1" applyBorder="1">
      <alignment vertical="center"/>
    </xf>
    <xf numFmtId="0" fontId="5" fillId="0" borderId="21" xfId="3" applyNumberFormat="1" applyFont="1" applyBorder="1">
      <alignment vertical="center"/>
    </xf>
    <xf numFmtId="177" fontId="5" fillId="0" borderId="16" xfId="4" applyNumberFormat="1" applyFont="1" applyBorder="1">
      <alignment vertical="center"/>
    </xf>
    <xf numFmtId="0" fontId="7" fillId="0" borderId="6" xfId="3" applyNumberFormat="1" applyFont="1" applyBorder="1">
      <alignment vertical="center"/>
    </xf>
    <xf numFmtId="0" fontId="7" fillId="0" borderId="4" xfId="3" applyNumberFormat="1" applyFont="1" applyBorder="1" applyAlignment="1">
      <alignment vertical="center" shrinkToFit="1"/>
    </xf>
    <xf numFmtId="176" fontId="7" fillId="0" borderId="4" xfId="3" applyNumberFormat="1" applyFont="1" applyBorder="1" applyAlignment="1">
      <alignment vertical="center" shrinkToFit="1"/>
    </xf>
    <xf numFmtId="176" fontId="7" fillId="0" borderId="4" xfId="3" applyNumberFormat="1" applyFont="1" applyBorder="1">
      <alignment vertical="center"/>
    </xf>
    <xf numFmtId="41" fontId="7" fillId="0" borderId="4" xfId="3" applyNumberFormat="1" applyFont="1" applyBorder="1" applyAlignment="1">
      <alignment vertical="center" shrinkToFit="1"/>
    </xf>
    <xf numFmtId="178" fontId="7" fillId="0" borderId="4" xfId="3" applyNumberFormat="1" applyFont="1" applyBorder="1" applyAlignment="1">
      <alignment vertical="center" shrinkToFit="1"/>
    </xf>
    <xf numFmtId="0" fontId="5" fillId="0" borderId="16" xfId="3" applyNumberFormat="1" applyFont="1" applyBorder="1">
      <alignment vertical="center"/>
    </xf>
    <xf numFmtId="0" fontId="5" fillId="0" borderId="9" xfId="3" applyNumberFormat="1" applyFont="1" applyBorder="1">
      <alignment vertical="center"/>
    </xf>
    <xf numFmtId="0" fontId="5" fillId="0" borderId="5" xfId="3" applyNumberFormat="1" applyFont="1" applyBorder="1">
      <alignment vertical="center"/>
    </xf>
    <xf numFmtId="0" fontId="6" fillId="0" borderId="4" xfId="3" applyNumberFormat="1" applyFont="1" applyBorder="1" applyAlignment="1">
      <alignment vertical="center" shrinkToFit="1"/>
    </xf>
    <xf numFmtId="176" fontId="6" fillId="0" borderId="4" xfId="3" applyNumberFormat="1" applyFont="1" applyBorder="1" applyAlignment="1">
      <alignment vertical="center" shrinkToFit="1"/>
    </xf>
    <xf numFmtId="176" fontId="6" fillId="0" borderId="4" xfId="3" applyNumberFormat="1" applyFont="1" applyBorder="1">
      <alignment vertical="center"/>
    </xf>
    <xf numFmtId="41" fontId="6" fillId="0" borderId="4" xfId="3" applyNumberFormat="1" applyFont="1" applyBorder="1" applyAlignment="1">
      <alignment vertical="center" shrinkToFit="1"/>
    </xf>
    <xf numFmtId="178" fontId="6" fillId="0" borderId="4" xfId="3" applyNumberFormat="1" applyFont="1" applyBorder="1" applyAlignment="1">
      <alignment vertical="center" shrinkToFit="1"/>
    </xf>
    <xf numFmtId="0" fontId="6" fillId="0" borderId="7" xfId="3" applyNumberFormat="1" applyFont="1" applyBorder="1">
      <alignment vertical="center"/>
    </xf>
    <xf numFmtId="0" fontId="5" fillId="0" borderId="18" xfId="3" applyNumberFormat="1" applyFont="1" applyBorder="1">
      <alignment vertical="center"/>
    </xf>
    <xf numFmtId="0" fontId="5" fillId="0" borderId="12" xfId="3" applyNumberFormat="1" applyFont="1" applyBorder="1">
      <alignment vertical="center"/>
    </xf>
    <xf numFmtId="0" fontId="6" fillId="0" borderId="4" xfId="3" applyNumberFormat="1" applyFont="1" applyBorder="1" applyAlignment="1">
      <alignment horizontal="left" vertical="center"/>
    </xf>
    <xf numFmtId="0" fontId="3" fillId="0" borderId="12" xfId="3" applyNumberFormat="1" applyFont="1" applyBorder="1">
      <alignment vertical="center"/>
    </xf>
    <xf numFmtId="0" fontId="9" fillId="0" borderId="20" xfId="3" applyNumberFormat="1" applyFont="1" applyBorder="1">
      <alignment vertical="center"/>
    </xf>
    <xf numFmtId="177" fontId="3" fillId="0" borderId="21" xfId="4" applyNumberFormat="1" applyFont="1" applyBorder="1">
      <alignment vertical="center"/>
    </xf>
    <xf numFmtId="177" fontId="3" fillId="0" borderId="16" xfId="4" applyNumberFormat="1" applyFont="1" applyBorder="1">
      <alignment vertical="center"/>
    </xf>
    <xf numFmtId="177" fontId="3" fillId="0" borderId="18" xfId="4" applyNumberFormat="1" applyFont="1" applyBorder="1">
      <alignment vertical="center"/>
    </xf>
    <xf numFmtId="0" fontId="7" fillId="0" borderId="23" xfId="3" applyNumberFormat="1" applyFont="1" applyBorder="1">
      <alignment vertical="center"/>
    </xf>
    <xf numFmtId="177" fontId="7" fillId="0" borderId="16" xfId="3" applyNumberFormat="1" applyFont="1" applyBorder="1">
      <alignment vertical="center"/>
    </xf>
    <xf numFmtId="0" fontId="3" fillId="0" borderId="47" xfId="3" applyNumberFormat="1" applyFont="1" applyBorder="1">
      <alignment vertical="center"/>
    </xf>
    <xf numFmtId="177" fontId="3" fillId="0" borderId="48" xfId="3" applyNumberFormat="1" applyFont="1" applyBorder="1">
      <alignment vertical="center"/>
    </xf>
    <xf numFmtId="0" fontId="6" fillId="0" borderId="49" xfId="3" applyNumberFormat="1" applyFont="1" applyBorder="1">
      <alignment vertical="center"/>
    </xf>
    <xf numFmtId="0" fontId="7" fillId="0" borderId="50" xfId="3" applyNumberFormat="1" applyFont="1" applyBorder="1">
      <alignment vertical="center"/>
    </xf>
    <xf numFmtId="0" fontId="3" fillId="0" borderId="0" xfId="6" applyNumberFormat="1" applyFont="1">
      <alignment vertical="center"/>
    </xf>
    <xf numFmtId="0" fontId="19" fillId="0" borderId="0" xfId="5" applyNumberFormat="1" applyFont="1">
      <alignment vertical="center"/>
    </xf>
    <xf numFmtId="0" fontId="9" fillId="0" borderId="6" xfId="3" applyNumberFormat="1" applyFont="1" applyBorder="1">
      <alignment vertical="center"/>
    </xf>
    <xf numFmtId="0" fontId="3" fillId="0" borderId="7" xfId="3" applyNumberFormat="1" applyFont="1" applyBorder="1">
      <alignment vertical="center"/>
    </xf>
    <xf numFmtId="177" fontId="3" fillId="0" borderId="6" xfId="3" applyNumberFormat="1" applyFont="1" applyBorder="1">
      <alignment vertical="center"/>
    </xf>
    <xf numFmtId="0" fontId="19" fillId="0" borderId="0" xfId="3" applyNumberFormat="1" applyFont="1">
      <alignment vertical="center"/>
    </xf>
    <xf numFmtId="0" fontId="23" fillId="0" borderId="9" xfId="3" applyNumberFormat="1" applyFont="1" applyBorder="1">
      <alignment vertical="center"/>
    </xf>
    <xf numFmtId="177" fontId="3" fillId="0" borderId="9" xfId="4" applyNumberFormat="1" applyFont="1" applyBorder="1">
      <alignment vertical="center"/>
    </xf>
    <xf numFmtId="0" fontId="5" fillId="0" borderId="12" xfId="5" applyNumberFormat="1" applyFont="1" applyBorder="1">
      <alignment vertical="center"/>
    </xf>
    <xf numFmtId="0" fontId="5" fillId="0" borderId="6" xfId="5" applyNumberFormat="1" applyFont="1" applyBorder="1">
      <alignment vertical="center"/>
    </xf>
    <xf numFmtId="0" fontId="5" fillId="0" borderId="4" xfId="5" applyNumberFormat="1" applyFont="1" applyBorder="1">
      <alignment vertical="center"/>
    </xf>
    <xf numFmtId="0" fontId="5" fillId="0" borderId="21" xfId="5" applyNumberFormat="1" applyFont="1" applyBorder="1">
      <alignment vertical="center"/>
    </xf>
    <xf numFmtId="177" fontId="5" fillId="0" borderId="16" xfId="3" applyNumberFormat="1" applyFont="1" applyBorder="1">
      <alignment vertical="center"/>
    </xf>
    <xf numFmtId="0" fontId="5" fillId="0" borderId="10" xfId="5" applyNumberFormat="1" applyFont="1" applyBorder="1">
      <alignment vertical="center"/>
    </xf>
    <xf numFmtId="0" fontId="3" fillId="0" borderId="12" xfId="5" applyNumberFormat="1" applyFont="1" applyBorder="1">
      <alignment vertical="center"/>
    </xf>
    <xf numFmtId="0" fontId="3" fillId="0" borderId="9" xfId="5" applyNumberFormat="1" applyFont="1" applyBorder="1">
      <alignment vertical="center"/>
    </xf>
    <xf numFmtId="0" fontId="10" fillId="0" borderId="20" xfId="3" applyNumberFormat="1" applyFont="1" applyBorder="1">
      <alignment vertical="center"/>
    </xf>
    <xf numFmtId="0" fontId="3" fillId="0" borderId="22" xfId="3" applyNumberFormat="1" applyFont="1" applyBorder="1">
      <alignment vertical="center"/>
    </xf>
    <xf numFmtId="0" fontId="3" fillId="0" borderId="21" xfId="3" applyNumberFormat="1" applyFont="1" applyBorder="1">
      <alignment vertical="center"/>
    </xf>
    <xf numFmtId="0" fontId="1" fillId="9" borderId="0" xfId="3" applyNumberFormat="1" applyFont="1" applyFill="1">
      <alignment vertical="center"/>
    </xf>
    <xf numFmtId="0" fontId="24" fillId="0" borderId="0" xfId="0" applyNumberFormat="1" applyFont="1">
      <alignment vertical="center"/>
    </xf>
    <xf numFmtId="0" fontId="1" fillId="0" borderId="23" xfId="3" applyNumberFormat="1" applyFont="1" applyBorder="1">
      <alignment vertical="center"/>
    </xf>
    <xf numFmtId="177" fontId="2" fillId="0" borderId="6" xfId="3" applyNumberFormat="1" applyFont="1" applyBorder="1">
      <alignment vertical="center"/>
    </xf>
    <xf numFmtId="177" fontId="1" fillId="0" borderId="0" xfId="3" applyNumberFormat="1" applyFont="1">
      <alignment vertical="center"/>
    </xf>
    <xf numFmtId="0" fontId="2" fillId="0" borderId="0" xfId="3" applyNumberFormat="1" applyFont="1" applyAlignment="1">
      <alignment horizontal="center" vertical="center"/>
    </xf>
    <xf numFmtId="177" fontId="21" fillId="0" borderId="0" xfId="3" applyNumberFormat="1" applyFont="1">
      <alignment vertical="center"/>
    </xf>
    <xf numFmtId="0" fontId="7" fillId="0" borderId="24" xfId="3" applyNumberFormat="1" applyFont="1" applyBorder="1">
      <alignment vertical="center"/>
    </xf>
    <xf numFmtId="41" fontId="0" fillId="0" borderId="0" xfId="0" applyNumberFormat="1">
      <alignment vertical="center"/>
    </xf>
    <xf numFmtId="0" fontId="6" fillId="0" borderId="17" xfId="6" applyNumberFormat="1" applyFont="1" applyBorder="1">
      <alignment vertical="center"/>
    </xf>
    <xf numFmtId="0" fontId="1" fillId="0" borderId="11" xfId="3" applyNumberFormat="1" applyFont="1" applyBorder="1">
      <alignment vertical="center"/>
    </xf>
    <xf numFmtId="0" fontId="2" fillId="0" borderId="0" xfId="3" applyNumberFormat="1" applyFont="1">
      <alignment vertical="center"/>
    </xf>
    <xf numFmtId="0" fontId="2" fillId="0" borderId="10" xfId="3" applyNumberFormat="1" applyFont="1" applyBorder="1">
      <alignment vertical="center"/>
    </xf>
    <xf numFmtId="177" fontId="2" fillId="0" borderId="10" xfId="3" applyNumberFormat="1" applyFont="1" applyBorder="1">
      <alignment vertical="center"/>
    </xf>
    <xf numFmtId="0" fontId="11" fillId="0" borderId="19" xfId="3" applyNumberFormat="1" applyFont="1" applyBorder="1">
      <alignment vertical="center"/>
    </xf>
    <xf numFmtId="177" fontId="25" fillId="0" borderId="10" xfId="3" applyNumberFormat="1" applyFont="1" applyBorder="1">
      <alignment vertical="center"/>
    </xf>
    <xf numFmtId="0" fontId="7" fillId="0" borderId="0" xfId="3" applyNumberFormat="1" applyFont="1">
      <alignment vertical="center"/>
    </xf>
    <xf numFmtId="0" fontId="7" fillId="0" borderId="17" xfId="3" applyNumberFormat="1" applyFont="1" applyBorder="1">
      <alignment vertical="center"/>
    </xf>
    <xf numFmtId="0" fontId="3" fillId="0" borderId="11" xfId="3" applyNumberFormat="1" applyFont="1" applyBorder="1">
      <alignment vertical="center"/>
    </xf>
    <xf numFmtId="0" fontId="3" fillId="0" borderId="17" xfId="3" applyNumberFormat="1" applyFont="1" applyBorder="1">
      <alignment vertical="center"/>
    </xf>
    <xf numFmtId="0" fontId="3" fillId="0" borderId="0" xfId="3" applyNumberFormat="1" applyFont="1">
      <alignment vertical="center"/>
    </xf>
    <xf numFmtId="178" fontId="6" fillId="0" borderId="5" xfId="3" applyNumberFormat="1" applyFont="1" applyBorder="1" applyAlignment="1">
      <alignment vertical="center" shrinkToFit="1"/>
    </xf>
    <xf numFmtId="0" fontId="3" fillId="0" borderId="9" xfId="3" applyNumberFormat="1" applyFont="1" applyBorder="1">
      <alignment vertical="center"/>
    </xf>
    <xf numFmtId="177" fontId="3" fillId="0" borderId="16" xfId="4" applyNumberFormat="1" applyFont="1" applyBorder="1">
      <alignment vertical="center"/>
    </xf>
    <xf numFmtId="0" fontId="3" fillId="0" borderId="16" xfId="3" applyNumberFormat="1" applyFont="1" applyBorder="1">
      <alignment vertical="center"/>
    </xf>
    <xf numFmtId="0" fontId="6" fillId="0" borderId="6" xfId="3" applyNumberFormat="1" applyFont="1" applyBorder="1">
      <alignment vertical="center"/>
    </xf>
    <xf numFmtId="0" fontId="6" fillId="0" borderId="4" xfId="3" applyNumberFormat="1" applyFont="1" applyBorder="1">
      <alignment vertical="center"/>
    </xf>
    <xf numFmtId="0" fontId="3" fillId="0" borderId="10" xfId="3" applyNumberFormat="1" applyFont="1" applyBorder="1">
      <alignment vertical="center"/>
    </xf>
    <xf numFmtId="177" fontId="3" fillId="0" borderId="10" xfId="3" applyNumberFormat="1" applyFont="1" applyBorder="1">
      <alignment vertical="center"/>
    </xf>
    <xf numFmtId="0" fontId="3" fillId="0" borderId="23" xfId="3" applyNumberFormat="1" applyFont="1" applyBorder="1">
      <alignment vertical="center"/>
    </xf>
    <xf numFmtId="0" fontId="3" fillId="0" borderId="12" xfId="3" applyNumberFormat="1" applyFont="1" applyBorder="1">
      <alignment vertical="center"/>
    </xf>
    <xf numFmtId="0" fontId="6" fillId="0" borderId="5" xfId="3" applyNumberFormat="1" applyFont="1" applyBorder="1">
      <alignment vertical="center"/>
    </xf>
    <xf numFmtId="0" fontId="7" fillId="0" borderId="5" xfId="3" applyNumberFormat="1" applyFont="1" applyBorder="1">
      <alignment vertical="center"/>
    </xf>
    <xf numFmtId="0" fontId="7" fillId="0" borderId="5" xfId="3" applyNumberFormat="1" applyFont="1" applyBorder="1" applyAlignment="1">
      <alignment vertical="center" shrinkToFit="1"/>
    </xf>
    <xf numFmtId="176" fontId="7" fillId="0" borderId="5" xfId="3" applyNumberFormat="1" applyFont="1" applyBorder="1" applyAlignment="1">
      <alignment vertical="center" shrinkToFit="1"/>
    </xf>
    <xf numFmtId="176" fontId="7" fillId="0" borderId="5" xfId="3" applyNumberFormat="1" applyFont="1" applyBorder="1">
      <alignment vertical="center"/>
    </xf>
    <xf numFmtId="41" fontId="7" fillId="0" borderId="5" xfId="3" applyNumberFormat="1" applyFont="1" applyBorder="1" applyAlignment="1">
      <alignment vertical="center" shrinkToFit="1"/>
    </xf>
    <xf numFmtId="0" fontId="3" fillId="0" borderId="22" xfId="3" applyNumberFormat="1" applyFont="1" applyBorder="1">
      <alignment vertical="center"/>
    </xf>
    <xf numFmtId="177" fontId="3" fillId="0" borderId="16" xfId="3" applyNumberFormat="1" applyFont="1" applyBorder="1">
      <alignment vertical="center"/>
    </xf>
    <xf numFmtId="0" fontId="3" fillId="0" borderId="7" xfId="3" applyNumberFormat="1" applyFont="1" applyBorder="1">
      <alignment vertical="center"/>
    </xf>
    <xf numFmtId="0" fontId="7" fillId="0" borderId="23" xfId="3" applyNumberFormat="1" applyFont="1" applyBorder="1">
      <alignment vertical="center"/>
    </xf>
    <xf numFmtId="0" fontId="7" fillId="0" borderId="10" xfId="3" applyNumberFormat="1" applyFont="1" applyBorder="1">
      <alignment vertical="center"/>
    </xf>
    <xf numFmtId="0" fontId="3" fillId="0" borderId="20" xfId="3" applyNumberFormat="1" applyFont="1" applyBorder="1">
      <alignment vertical="center"/>
    </xf>
    <xf numFmtId="177" fontId="3" fillId="0" borderId="12" xfId="3" applyNumberFormat="1" applyFont="1" applyBorder="1">
      <alignment vertical="center"/>
    </xf>
    <xf numFmtId="177" fontId="3" fillId="0" borderId="17" xfId="3" applyNumberFormat="1" applyFont="1" applyBorder="1">
      <alignment vertical="center"/>
    </xf>
    <xf numFmtId="0" fontId="5" fillId="9" borderId="8" xfId="3" applyNumberFormat="1" applyFont="1" applyFill="1" applyBorder="1" applyAlignment="1">
      <alignment horizontal="center" vertical="center"/>
    </xf>
    <xf numFmtId="177" fontId="3" fillId="0" borderId="12" xfId="4" applyNumberFormat="1" applyFont="1" applyBorder="1">
      <alignment vertical="center"/>
    </xf>
    <xf numFmtId="176" fontId="3" fillId="0" borderId="5" xfId="3" applyNumberFormat="1" applyFont="1" applyBorder="1" applyAlignment="1">
      <alignment vertical="center" shrinkToFit="1"/>
    </xf>
    <xf numFmtId="176" fontId="3" fillId="0" borderId="5" xfId="3" applyNumberFormat="1" applyFont="1" applyBorder="1">
      <alignment vertical="center"/>
    </xf>
    <xf numFmtId="41" fontId="3" fillId="0" borderId="5" xfId="3" applyNumberFormat="1" applyFont="1" applyBorder="1" applyAlignment="1">
      <alignment vertical="center" shrinkToFit="1"/>
    </xf>
    <xf numFmtId="0" fontId="10" fillId="0" borderId="20" xfId="3" applyNumberFormat="1" applyFont="1" applyBorder="1">
      <alignment vertical="center"/>
    </xf>
    <xf numFmtId="0" fontId="3" fillId="0" borderId="12" xfId="5" applyNumberFormat="1" applyFont="1" applyBorder="1">
      <alignment vertical="center"/>
    </xf>
    <xf numFmtId="0" fontId="3" fillId="0" borderId="20" xfId="5" applyNumberFormat="1" applyFont="1" applyBorder="1">
      <alignment vertical="center"/>
    </xf>
    <xf numFmtId="0" fontId="3" fillId="0" borderId="9" xfId="5" applyNumberFormat="1" applyFont="1" applyBorder="1">
      <alignment vertical="center"/>
    </xf>
    <xf numFmtId="178" fontId="7" fillId="0" borderId="5" xfId="7" applyNumberFormat="1" applyFont="1" applyBorder="1" applyAlignment="1">
      <alignment horizontal="left" vertical="center" shrinkToFit="1"/>
    </xf>
    <xf numFmtId="0" fontId="3" fillId="0" borderId="10" xfId="5" applyNumberFormat="1" applyFont="1" applyBorder="1">
      <alignment vertical="center"/>
    </xf>
    <xf numFmtId="0" fontId="3" fillId="0" borderId="17" xfId="5" applyNumberFormat="1" applyFont="1" applyBorder="1">
      <alignment vertical="center"/>
    </xf>
    <xf numFmtId="0" fontId="3" fillId="0" borderId="0" xfId="5" applyNumberFormat="1" applyFont="1">
      <alignment vertical="center"/>
    </xf>
    <xf numFmtId="0" fontId="5" fillId="9" borderId="20" xfId="2" applyNumberFormat="1" applyFont="1" applyFill="1" applyBorder="1" applyAlignment="1">
      <alignment horizontal="center" vertical="center"/>
    </xf>
    <xf numFmtId="0" fontId="5" fillId="9" borderId="5" xfId="2" applyNumberFormat="1" applyFont="1" applyFill="1" applyBorder="1" applyAlignment="1">
      <alignment horizontal="center" vertical="center"/>
    </xf>
    <xf numFmtId="0" fontId="5" fillId="9" borderId="5" xfId="2" applyNumberFormat="1" applyFont="1" applyFill="1" applyBorder="1" applyAlignment="1">
      <alignment horizontal="center" vertical="center" shrinkToFit="1"/>
    </xf>
    <xf numFmtId="41" fontId="5" fillId="9" borderId="5" xfId="2" applyNumberFormat="1" applyFont="1" applyFill="1" applyBorder="1" applyAlignment="1">
      <alignment horizontal="center" vertical="center" shrinkToFit="1"/>
    </xf>
    <xf numFmtId="178" fontId="6" fillId="9" borderId="5" xfId="2" applyNumberFormat="1" applyFont="1" applyFill="1" applyBorder="1" applyAlignment="1">
      <alignment horizontal="center" vertical="center" shrinkToFit="1"/>
    </xf>
    <xf numFmtId="0" fontId="5" fillId="9" borderId="22" xfId="2" applyNumberFormat="1" applyFont="1" applyFill="1" applyBorder="1" applyAlignment="1">
      <alignment horizontal="center" vertical="center"/>
    </xf>
    <xf numFmtId="0" fontId="3" fillId="9" borderId="0" xfId="2" applyNumberFormat="1" applyFont="1" applyFill="1">
      <alignment vertical="center"/>
    </xf>
    <xf numFmtId="0" fontId="6" fillId="0" borderId="20" xfId="3" applyNumberFormat="1" applyFont="1" applyBorder="1">
      <alignment vertical="center"/>
    </xf>
    <xf numFmtId="0" fontId="1" fillId="0" borderId="0" xfId="3" applyNumberFormat="1" applyFont="1">
      <alignment vertical="center"/>
    </xf>
    <xf numFmtId="177" fontId="3" fillId="0" borderId="10" xfId="6" applyNumberFormat="1" applyFont="1" applyBorder="1">
      <alignment vertical="center"/>
    </xf>
    <xf numFmtId="177" fontId="3" fillId="0" borderId="17" xfId="6" applyNumberFormat="1" applyFont="1" applyBorder="1">
      <alignment vertical="center"/>
    </xf>
    <xf numFmtId="0" fontId="7" fillId="0" borderId="17" xfId="6" applyNumberFormat="1" applyFont="1" applyBorder="1">
      <alignment vertical="center"/>
    </xf>
    <xf numFmtId="0" fontId="7" fillId="0" borderId="10" xfId="6" applyNumberFormat="1" applyFont="1" applyBorder="1">
      <alignment vertical="center"/>
    </xf>
    <xf numFmtId="0" fontId="7" fillId="0" borderId="10" xfId="6" applyNumberFormat="1" applyFont="1" applyBorder="1" applyAlignment="1">
      <alignment horizontal="left" vertical="center"/>
    </xf>
    <xf numFmtId="0" fontId="7" fillId="0" borderId="0" xfId="6" applyNumberFormat="1" applyFont="1">
      <alignment vertical="center"/>
    </xf>
    <xf numFmtId="177" fontId="7" fillId="0" borderId="10" xfId="6" applyNumberFormat="1" applyFont="1" applyBorder="1">
      <alignment vertical="center"/>
    </xf>
    <xf numFmtId="177" fontId="7" fillId="0" borderId="17" xfId="6" applyNumberFormat="1" applyFont="1" applyBorder="1">
      <alignment vertical="center"/>
    </xf>
    <xf numFmtId="0" fontId="7" fillId="0" borderId="19" xfId="6" applyNumberFormat="1" applyFont="1" applyBorder="1">
      <alignment vertical="center"/>
    </xf>
    <xf numFmtId="0" fontId="3" fillId="0" borderId="17" xfId="6" applyNumberFormat="1" applyFont="1" applyBorder="1">
      <alignment vertical="center"/>
    </xf>
    <xf numFmtId="0" fontId="3" fillId="0" borderId="10" xfId="6" applyNumberFormat="1" applyFont="1" applyBorder="1">
      <alignment vertical="center"/>
    </xf>
    <xf numFmtId="0" fontId="3" fillId="0" borderId="10" xfId="6" applyNumberFormat="1" applyFont="1" applyBorder="1" applyAlignment="1">
      <alignment horizontal="left" vertical="center"/>
    </xf>
    <xf numFmtId="0" fontId="1" fillId="0" borderId="0" xfId="6" applyNumberFormat="1" applyFont="1">
      <alignment vertical="center"/>
    </xf>
    <xf numFmtId="0" fontId="3" fillId="0" borderId="0" xfId="6" applyNumberFormat="1" applyFont="1">
      <alignment vertical="center"/>
    </xf>
    <xf numFmtId="0" fontId="5" fillId="0" borderId="10" xfId="5" applyNumberFormat="1" applyFont="1" applyBorder="1">
      <alignment vertical="center"/>
    </xf>
    <xf numFmtId="41" fontId="1" fillId="0" borderId="0" xfId="12" applyNumberFormat="1" applyFont="1" applyFill="1">
      <alignment vertical="center"/>
    </xf>
    <xf numFmtId="0" fontId="3" fillId="0" borderId="6" xfId="5" applyNumberFormat="1" applyFont="1" applyBorder="1">
      <alignment vertical="center"/>
    </xf>
    <xf numFmtId="0" fontId="23" fillId="0" borderId="9" xfId="3" applyNumberFormat="1" applyFont="1" applyBorder="1">
      <alignment vertical="center"/>
    </xf>
    <xf numFmtId="177" fontId="3" fillId="0" borderId="9" xfId="4" applyNumberFormat="1" applyFont="1" applyBorder="1">
      <alignment vertical="center"/>
    </xf>
    <xf numFmtId="41" fontId="52" fillId="0" borderId="0" xfId="11" applyNumberFormat="1">
      <alignment vertical="center"/>
    </xf>
    <xf numFmtId="176" fontId="26" fillId="0" borderId="0" xfId="0" applyNumberFormat="1" applyFont="1">
      <alignment vertical="center"/>
    </xf>
    <xf numFmtId="0" fontId="13" fillId="0" borderId="0" xfId="6" applyNumberFormat="1" applyFont="1" applyBorder="1">
      <alignment vertical="center"/>
    </xf>
    <xf numFmtId="183" fontId="4" fillId="2" borderId="29" xfId="0" applyNumberFormat="1" applyFont="1" applyFill="1" applyBorder="1" applyAlignment="1">
      <alignment horizontal="center" vertical="center" wrapText="1" shrinkToFit="1"/>
    </xf>
    <xf numFmtId="0" fontId="1" fillId="9" borderId="0" xfId="0" applyNumberFormat="1" applyFont="1" applyFill="1">
      <alignment vertical="center"/>
    </xf>
    <xf numFmtId="0" fontId="5" fillId="9" borderId="27" xfId="0" applyNumberFormat="1" applyFont="1" applyFill="1" applyBorder="1">
      <alignment vertical="center"/>
    </xf>
    <xf numFmtId="0" fontId="19" fillId="9" borderId="0" xfId="0" applyNumberFormat="1" applyFont="1" applyFill="1">
      <alignment vertical="center"/>
    </xf>
    <xf numFmtId="0" fontId="7" fillId="0" borderId="23" xfId="6" applyNumberFormat="1" applyFont="1" applyBorder="1">
      <alignment vertical="center"/>
    </xf>
    <xf numFmtId="0" fontId="7" fillId="0" borderId="17" xfId="6" applyNumberFormat="1" applyFont="1" applyBorder="1" applyAlignment="1">
      <alignment vertical="center" wrapText="1"/>
    </xf>
    <xf numFmtId="41" fontId="3" fillId="0" borderId="0" xfId="0" applyNumberFormat="1" applyFont="1">
      <alignment vertical="center"/>
    </xf>
    <xf numFmtId="0" fontId="3" fillId="0" borderId="0" xfId="0" applyNumberFormat="1" applyFont="1" applyAlignment="1">
      <alignment horizontal="center" vertical="center"/>
    </xf>
    <xf numFmtId="0" fontId="3" fillId="0" borderId="23" xfId="6" applyNumberFormat="1" applyFont="1" applyBorder="1">
      <alignment vertical="center"/>
    </xf>
    <xf numFmtId="0" fontId="3" fillId="0" borderId="17" xfId="6" applyNumberFormat="1" applyFont="1" applyBorder="1" applyAlignment="1">
      <alignment vertical="center" wrapText="1"/>
    </xf>
    <xf numFmtId="0" fontId="7" fillId="10" borderId="0" xfId="6" applyNumberFormat="1" applyFont="1" applyFill="1">
      <alignment vertical="center"/>
    </xf>
    <xf numFmtId="41" fontId="3" fillId="10" borderId="0" xfId="0" applyNumberFormat="1" applyFont="1" applyFill="1">
      <alignment vertical="center"/>
    </xf>
    <xf numFmtId="0" fontId="1" fillId="0" borderId="0" xfId="3" applyNumberFormat="1" applyFont="1">
      <alignment vertical="center"/>
    </xf>
    <xf numFmtId="0" fontId="3" fillId="0" borderId="17" xfId="3" applyNumberFormat="1" applyFont="1" applyBorder="1">
      <alignment vertical="center"/>
    </xf>
    <xf numFmtId="0" fontId="3" fillId="0" borderId="10" xfId="3" applyNumberFormat="1" applyFont="1" applyBorder="1">
      <alignment vertical="center"/>
    </xf>
    <xf numFmtId="0" fontId="3" fillId="0" borderId="0" xfId="3" applyNumberFormat="1" applyFont="1">
      <alignment vertical="center"/>
    </xf>
    <xf numFmtId="0" fontId="3" fillId="0" borderId="16" xfId="3" applyNumberFormat="1" applyFont="1" applyBorder="1">
      <alignment vertical="center"/>
    </xf>
    <xf numFmtId="177" fontId="3" fillId="0" borderId="16" xfId="3" applyNumberFormat="1" applyFont="1" applyBorder="1">
      <alignment vertical="center"/>
    </xf>
    <xf numFmtId="0" fontId="6" fillId="11" borderId="4" xfId="3" applyNumberFormat="1" applyFont="1" applyFill="1" applyBorder="1">
      <alignment vertical="center"/>
    </xf>
    <xf numFmtId="0" fontId="7" fillId="11" borderId="4" xfId="3" applyNumberFormat="1" applyFont="1" applyFill="1" applyBorder="1">
      <alignment vertical="center"/>
    </xf>
    <xf numFmtId="176" fontId="7" fillId="11" borderId="4" xfId="3" applyNumberFormat="1" applyFont="1" applyFill="1" applyBorder="1" applyAlignment="1">
      <alignment horizontal="center" vertical="center"/>
    </xf>
    <xf numFmtId="176" fontId="7" fillId="11" borderId="4" xfId="3" applyNumberFormat="1" applyFont="1" applyFill="1" applyBorder="1">
      <alignment vertical="center"/>
    </xf>
    <xf numFmtId="176" fontId="7" fillId="11" borderId="4" xfId="3" applyNumberFormat="1" applyFont="1" applyFill="1" applyBorder="1" applyAlignment="1">
      <alignment vertical="center" shrinkToFit="1"/>
    </xf>
    <xf numFmtId="0" fontId="7" fillId="0" borderId="19" xfId="3" applyNumberFormat="1" applyFont="1" applyBorder="1">
      <alignment vertical="center"/>
    </xf>
    <xf numFmtId="0" fontId="9" fillId="11" borderId="6" xfId="3" applyNumberFormat="1" applyFont="1" applyFill="1" applyBorder="1">
      <alignment vertical="center"/>
    </xf>
    <xf numFmtId="177" fontId="3" fillId="0" borderId="10" xfId="3" applyNumberFormat="1" applyFont="1" applyBorder="1">
      <alignment vertical="center"/>
    </xf>
    <xf numFmtId="178" fontId="6" fillId="11" borderId="4" xfId="3" applyNumberFormat="1" applyFont="1" applyFill="1" applyBorder="1" applyAlignment="1">
      <alignment vertical="center" shrinkToFit="1"/>
    </xf>
    <xf numFmtId="0" fontId="7" fillId="0" borderId="7" xfId="3" applyNumberFormat="1" applyFont="1" applyBorder="1">
      <alignment vertical="center"/>
    </xf>
    <xf numFmtId="0" fontId="6" fillId="11" borderId="6" xfId="3" applyNumberFormat="1" applyFont="1" applyFill="1" applyBorder="1">
      <alignment vertical="center"/>
    </xf>
    <xf numFmtId="0" fontId="7" fillId="11" borderId="17" xfId="3" applyNumberFormat="1" applyFont="1" applyFill="1" applyBorder="1">
      <alignment vertical="center"/>
    </xf>
    <xf numFmtId="0" fontId="7" fillId="11" borderId="17" xfId="6" applyNumberFormat="1" applyFont="1" applyFill="1" applyBorder="1">
      <alignment vertical="center"/>
    </xf>
    <xf numFmtId="0" fontId="6" fillId="11" borderId="17" xfId="0" applyNumberFormat="1" applyFont="1" applyFill="1" applyBorder="1">
      <alignment vertical="center"/>
    </xf>
    <xf numFmtId="0" fontId="7" fillId="11" borderId="17" xfId="0" applyNumberFormat="1" applyFont="1" applyFill="1" applyBorder="1">
      <alignment vertical="center"/>
    </xf>
    <xf numFmtId="0" fontId="3" fillId="0" borderId="6" xfId="3" applyNumberFormat="1" applyFont="1" applyBorder="1">
      <alignment vertical="center"/>
    </xf>
    <xf numFmtId="0" fontId="3" fillId="0" borderId="21" xfId="3" applyNumberFormat="1" applyFont="1" applyBorder="1">
      <alignment vertical="center"/>
    </xf>
    <xf numFmtId="41" fontId="7" fillId="11" borderId="4" xfId="3" applyNumberFormat="1" applyFont="1" applyFill="1" applyBorder="1" applyAlignment="1">
      <alignment vertical="center" shrinkToFit="1"/>
    </xf>
    <xf numFmtId="0" fontId="3" fillId="0" borderId="10" xfId="5" applyNumberFormat="1" applyFont="1" applyBorder="1">
      <alignment vertical="center"/>
    </xf>
    <xf numFmtId="0" fontId="3" fillId="0" borderId="12" xfId="5" applyNumberFormat="1" applyFont="1" applyBorder="1">
      <alignment vertical="center"/>
    </xf>
    <xf numFmtId="0" fontId="3" fillId="0" borderId="6" xfId="5" applyNumberFormat="1" applyFont="1" applyBorder="1">
      <alignment vertical="center"/>
    </xf>
    <xf numFmtId="0" fontId="3" fillId="0" borderId="21" xfId="5" applyNumberFormat="1" applyFont="1" applyBorder="1">
      <alignment vertical="center"/>
    </xf>
    <xf numFmtId="178" fontId="7" fillId="11" borderId="4" xfId="7" applyNumberFormat="1" applyFont="1" applyFill="1" applyBorder="1" applyAlignment="1">
      <alignment horizontal="left" vertical="center" shrinkToFit="1"/>
    </xf>
    <xf numFmtId="176" fontId="7" fillId="11" borderId="4" xfId="7" applyNumberFormat="1" applyFont="1" applyFill="1" applyBorder="1" applyAlignment="1">
      <alignment horizontal="left" vertical="center" shrinkToFit="1"/>
    </xf>
    <xf numFmtId="0" fontId="3" fillId="0" borderId="17" xfId="5" applyNumberFormat="1" applyFont="1" applyBorder="1">
      <alignment vertical="center"/>
    </xf>
    <xf numFmtId="0" fontId="3" fillId="0" borderId="16" xfId="5" applyNumberFormat="1" applyFont="1" applyBorder="1">
      <alignment vertical="center"/>
    </xf>
    <xf numFmtId="0" fontId="4" fillId="0" borderId="6" xfId="3" applyNumberFormat="1" applyFont="1" applyBorder="1">
      <alignment vertical="center"/>
    </xf>
    <xf numFmtId="177" fontId="3" fillId="0" borderId="16" xfId="12" applyNumberFormat="1" applyFont="1" applyBorder="1">
      <alignment vertical="center"/>
    </xf>
    <xf numFmtId="177" fontId="3" fillId="0" borderId="12" xfId="12" applyNumberFormat="1" applyFont="1" applyBorder="1">
      <alignment vertical="center"/>
    </xf>
    <xf numFmtId="177" fontId="3" fillId="0" borderId="10" xfId="12" applyNumberFormat="1" applyFont="1" applyBorder="1">
      <alignment vertical="center"/>
    </xf>
    <xf numFmtId="0" fontId="2" fillId="0" borderId="0" xfId="5" applyNumberFormat="1" applyFont="1">
      <alignment vertical="center"/>
    </xf>
    <xf numFmtId="0" fontId="2" fillId="0" borderId="7" xfId="3" applyNumberFormat="1" applyFont="1" applyBorder="1">
      <alignment vertical="center"/>
    </xf>
    <xf numFmtId="0" fontId="2" fillId="0" borderId="22" xfId="3" applyNumberFormat="1" applyFont="1" applyBorder="1">
      <alignment vertical="center"/>
    </xf>
    <xf numFmtId="0" fontId="2" fillId="0" borderId="17" xfId="5" applyNumberFormat="1" applyFont="1" applyBorder="1">
      <alignment vertical="center"/>
    </xf>
    <xf numFmtId="0" fontId="3" fillId="0" borderId="5" xfId="5" applyNumberFormat="1" applyFont="1" applyBorder="1">
      <alignment vertical="center"/>
    </xf>
    <xf numFmtId="178" fontId="7" fillId="0" borderId="5" xfId="7" applyNumberFormat="1" applyFont="1" applyBorder="1" applyAlignment="1">
      <alignment horizontal="left" vertical="center" shrinkToFit="1"/>
    </xf>
    <xf numFmtId="178" fontId="7" fillId="0" borderId="5" xfId="7" applyNumberFormat="1" applyFont="1" applyBorder="1" applyAlignment="1">
      <alignment horizontal="center" vertical="center" shrinkToFit="1"/>
    </xf>
    <xf numFmtId="176" fontId="7" fillId="0" borderId="5" xfId="3" applyNumberFormat="1" applyFont="1" applyBorder="1" applyAlignment="1">
      <alignment horizontal="center" vertical="center"/>
    </xf>
    <xf numFmtId="0" fontId="1" fillId="0" borderId="0" xfId="5" applyNumberFormat="1" applyFont="1">
      <alignment vertical="center"/>
    </xf>
    <xf numFmtId="41" fontId="27" fillId="0" borderId="0" xfId="0" applyNumberFormat="1" applyFont="1">
      <alignment vertical="center"/>
    </xf>
    <xf numFmtId="0" fontId="28" fillId="10" borderId="0" xfId="6" applyNumberFormat="1" applyFont="1" applyFill="1">
      <alignment vertical="center"/>
    </xf>
    <xf numFmtId="0" fontId="0" fillId="11" borderId="0" xfId="0" applyNumberFormat="1" applyFill="1">
      <alignment vertical="center"/>
    </xf>
    <xf numFmtId="41" fontId="0" fillId="11" borderId="0" xfId="0" applyNumberFormat="1" applyFill="1">
      <alignment vertical="center"/>
    </xf>
    <xf numFmtId="0" fontId="10" fillId="11" borderId="14" xfId="14" applyNumberFormat="1" applyFont="1" applyFill="1" applyBorder="1" applyAlignment="1">
      <alignment horizontal="center" vertical="center" wrapText="1"/>
    </xf>
    <xf numFmtId="0" fontId="10" fillId="11" borderId="12" xfId="14" applyNumberFormat="1" applyFont="1" applyFill="1" applyBorder="1" applyAlignment="1">
      <alignment horizontal="center" vertical="center" wrapText="1"/>
    </xf>
    <xf numFmtId="0" fontId="10" fillId="11" borderId="12" xfId="14" applyNumberFormat="1" applyFont="1" applyFill="1" applyBorder="1" applyAlignment="1">
      <alignment horizontal="right" vertical="center" wrapText="1"/>
    </xf>
    <xf numFmtId="0" fontId="10" fillId="11" borderId="15" xfId="14" applyNumberFormat="1" applyFont="1" applyFill="1" applyBorder="1" applyAlignment="1">
      <alignment horizontal="center" vertical="center" wrapText="1"/>
    </xf>
    <xf numFmtId="0" fontId="29" fillId="11" borderId="12" xfId="0" applyNumberFormat="1" applyFont="1" applyFill="1" applyBorder="1" applyAlignment="1">
      <alignment horizontal="center" vertical="center" wrapText="1"/>
    </xf>
    <xf numFmtId="184" fontId="29" fillId="11" borderId="12" xfId="0" applyNumberFormat="1" applyFont="1" applyFill="1" applyBorder="1" applyAlignment="1">
      <alignment horizontal="center" vertical="center" wrapText="1"/>
    </xf>
    <xf numFmtId="184" fontId="29" fillId="11" borderId="42" xfId="0" applyNumberFormat="1" applyFont="1" applyFill="1" applyBorder="1" applyAlignment="1">
      <alignment horizontal="center" vertical="center" wrapText="1"/>
    </xf>
    <xf numFmtId="0" fontId="7" fillId="11" borderId="0" xfId="3" applyNumberFormat="1" applyFont="1" applyFill="1">
      <alignment vertical="center"/>
    </xf>
    <xf numFmtId="0" fontId="6" fillId="11" borderId="0" xfId="5" applyNumberFormat="1" applyFont="1" applyFill="1">
      <alignment vertical="center"/>
    </xf>
    <xf numFmtId="0" fontId="7" fillId="11" borderId="0" xfId="5" applyNumberFormat="1" applyFont="1" applyFill="1">
      <alignment vertical="center"/>
    </xf>
    <xf numFmtId="178" fontId="7" fillId="11" borderId="0" xfId="5" applyNumberFormat="1" applyFont="1" applyFill="1">
      <alignment vertical="center"/>
    </xf>
    <xf numFmtId="178" fontId="7" fillId="11" borderId="0" xfId="3" applyNumberFormat="1" applyFont="1" applyFill="1">
      <alignment vertical="center"/>
    </xf>
    <xf numFmtId="178" fontId="6" fillId="11" borderId="0" xfId="3" applyNumberFormat="1" applyFont="1" applyFill="1">
      <alignment vertical="center"/>
    </xf>
    <xf numFmtId="0" fontId="6" fillId="11" borderId="17" xfId="5" applyNumberFormat="1" applyFont="1" applyFill="1" applyBorder="1">
      <alignment vertical="center"/>
    </xf>
    <xf numFmtId="0" fontId="7" fillId="11" borderId="0" xfId="0" applyNumberFormat="1" applyFont="1" applyFill="1">
      <alignment vertical="center"/>
    </xf>
    <xf numFmtId="178" fontId="7" fillId="11" borderId="0" xfId="0" applyNumberFormat="1" applyFont="1" applyFill="1">
      <alignment vertical="center"/>
    </xf>
    <xf numFmtId="0" fontId="7" fillId="11" borderId="0" xfId="0" applyNumberFormat="1" applyFont="1" applyFill="1" applyAlignment="1">
      <alignment horizontal="center" vertical="center"/>
    </xf>
    <xf numFmtId="178" fontId="7" fillId="11" borderId="0" xfId="6" applyNumberFormat="1" applyFont="1" applyFill="1">
      <alignment vertical="center"/>
    </xf>
    <xf numFmtId="178" fontId="7" fillId="11" borderId="0" xfId="3" applyNumberFormat="1" applyFont="1" applyFill="1">
      <alignment vertical="center"/>
    </xf>
    <xf numFmtId="0" fontId="6" fillId="11" borderId="17" xfId="5" applyNumberFormat="1" applyFont="1" applyFill="1" applyBorder="1">
      <alignment vertical="center"/>
    </xf>
    <xf numFmtId="0" fontId="7" fillId="11" borderId="0" xfId="5" applyNumberFormat="1" applyFont="1" applyFill="1">
      <alignment vertical="center"/>
    </xf>
    <xf numFmtId="0" fontId="7" fillId="11" borderId="0" xfId="5" applyNumberFormat="1" applyFont="1" applyFill="1" applyAlignment="1">
      <alignment horizontal="center" vertical="center"/>
    </xf>
    <xf numFmtId="178" fontId="7" fillId="11" borderId="0" xfId="7" applyNumberFormat="1" applyFont="1" applyFill="1">
      <alignment vertical="center"/>
    </xf>
    <xf numFmtId="178" fontId="7" fillId="11" borderId="0" xfId="5" applyNumberFormat="1" applyFont="1" applyFill="1">
      <alignment vertical="center"/>
    </xf>
    <xf numFmtId="0" fontId="7" fillId="11" borderId="0" xfId="7" applyNumberFormat="1" applyFont="1" applyFill="1" applyAlignment="1">
      <alignment horizontal="center" vertical="center"/>
    </xf>
    <xf numFmtId="0" fontId="6" fillId="11" borderId="0" xfId="6" applyNumberFormat="1" applyFont="1" applyFill="1">
      <alignment vertical="center"/>
    </xf>
    <xf numFmtId="0" fontId="6" fillId="11" borderId="0" xfId="5" applyNumberFormat="1" applyFont="1" applyFill="1">
      <alignment vertical="center"/>
    </xf>
    <xf numFmtId="178" fontId="6" fillId="11" borderId="0" xfId="5" applyNumberFormat="1" applyFont="1" applyFill="1">
      <alignment vertical="center"/>
    </xf>
    <xf numFmtId="0" fontId="7" fillId="11" borderId="0" xfId="6" applyNumberFormat="1" applyFont="1" applyFill="1">
      <alignment vertical="center"/>
    </xf>
    <xf numFmtId="178" fontId="6" fillId="11" borderId="0" xfId="5" applyNumberFormat="1" applyFont="1" applyFill="1">
      <alignment vertical="center"/>
    </xf>
    <xf numFmtId="0" fontId="7" fillId="11" borderId="17" xfId="5" applyNumberFormat="1" applyFont="1" applyFill="1" applyBorder="1">
      <alignment vertical="center"/>
    </xf>
    <xf numFmtId="0" fontId="7" fillId="11" borderId="0" xfId="5" applyNumberFormat="1" applyFont="1" applyFill="1" applyAlignment="1">
      <alignment horizontal="center" vertical="center"/>
    </xf>
    <xf numFmtId="0" fontId="7" fillId="11" borderId="5" xfId="3" applyNumberFormat="1" applyFont="1" applyFill="1" applyBorder="1">
      <alignment vertical="center"/>
    </xf>
    <xf numFmtId="41" fontId="7" fillId="11" borderId="5" xfId="4" applyNumberFormat="1" applyFont="1" applyFill="1" applyBorder="1">
      <alignment vertical="center"/>
    </xf>
    <xf numFmtId="178" fontId="7" fillId="11" borderId="5" xfId="4" applyNumberFormat="1" applyFont="1" applyFill="1" applyBorder="1">
      <alignment vertical="center"/>
    </xf>
    <xf numFmtId="178" fontId="7" fillId="11" borderId="5" xfId="3" applyNumberFormat="1" applyFont="1" applyFill="1" applyBorder="1">
      <alignment vertical="center"/>
    </xf>
    <xf numFmtId="0" fontId="6" fillId="11" borderId="0" xfId="3" applyNumberFormat="1" applyFont="1" applyFill="1">
      <alignment vertical="center"/>
    </xf>
    <xf numFmtId="41" fontId="7" fillId="11" borderId="0" xfId="4" applyNumberFormat="1" applyFont="1" applyFill="1">
      <alignment vertical="center"/>
    </xf>
    <xf numFmtId="178" fontId="7" fillId="11" borderId="0" xfId="4" applyNumberFormat="1" applyFont="1" applyFill="1">
      <alignment vertical="center"/>
    </xf>
    <xf numFmtId="178" fontId="6" fillId="11" borderId="4" xfId="3" applyNumberFormat="1" applyFont="1" applyFill="1" applyBorder="1">
      <alignment vertical="center"/>
    </xf>
    <xf numFmtId="0" fontId="7" fillId="11" borderId="0" xfId="7" applyNumberFormat="1" applyFont="1" applyFill="1" applyAlignment="1">
      <alignment horizontal="center" vertical="center"/>
    </xf>
    <xf numFmtId="178" fontId="7" fillId="11" borderId="0" xfId="5" applyNumberFormat="1" applyFont="1" applyFill="1" applyAlignment="1">
      <alignment horizontal="center" vertical="center"/>
    </xf>
    <xf numFmtId="0" fontId="7" fillId="11" borderId="0" xfId="3" applyNumberFormat="1" applyFont="1" applyFill="1">
      <alignment vertical="center"/>
    </xf>
    <xf numFmtId="178" fontId="7" fillId="11" borderId="0" xfId="7" applyNumberFormat="1" applyFont="1" applyFill="1" applyAlignment="1">
      <alignment vertical="center" shrinkToFit="1"/>
    </xf>
    <xf numFmtId="178" fontId="7" fillId="11" borderId="0" xfId="4" applyNumberFormat="1" applyFont="1" applyFill="1">
      <alignment vertical="center"/>
    </xf>
    <xf numFmtId="0" fontId="7" fillId="11" borderId="17" xfId="3" applyNumberFormat="1" applyFont="1" applyFill="1" applyBorder="1">
      <alignment vertical="center"/>
    </xf>
    <xf numFmtId="0" fontId="7" fillId="11" borderId="17" xfId="0" applyNumberFormat="1" applyFont="1" applyFill="1" applyBorder="1">
      <alignment vertical="center"/>
    </xf>
    <xf numFmtId="0" fontId="7" fillId="11" borderId="0" xfId="0" applyNumberFormat="1" applyFont="1" applyFill="1" applyAlignment="1">
      <alignment horizontal="right" vertical="center"/>
    </xf>
    <xf numFmtId="178" fontId="6" fillId="11" borderId="0" xfId="0" applyNumberFormat="1" applyFont="1" applyFill="1">
      <alignment vertical="center"/>
    </xf>
    <xf numFmtId="178" fontId="7" fillId="11" borderId="0" xfId="7" applyNumberFormat="1" applyFont="1" applyFill="1" applyAlignment="1">
      <alignment horizontal="right" vertical="center" shrinkToFit="1"/>
    </xf>
    <xf numFmtId="0" fontId="7" fillId="11" borderId="0" xfId="5" applyNumberFormat="1" applyFont="1" applyFill="1" applyAlignment="1">
      <alignment horizontal="right" vertical="center"/>
    </xf>
    <xf numFmtId="41" fontId="7" fillId="11" borderId="0" xfId="11" applyNumberFormat="1" applyFont="1" applyFill="1" applyAlignment="1">
      <alignment horizontal="center" vertical="center"/>
    </xf>
    <xf numFmtId="41" fontId="7" fillId="11" borderId="0" xfId="11" applyNumberFormat="1" applyFont="1" applyFill="1">
      <alignment vertical="center"/>
    </xf>
    <xf numFmtId="0" fontId="7" fillId="11" borderId="2" xfId="3" applyNumberFormat="1" applyFont="1" applyFill="1" applyBorder="1">
      <alignment vertical="center"/>
    </xf>
    <xf numFmtId="0" fontId="7" fillId="11" borderId="2" xfId="5" applyNumberFormat="1" applyFont="1" applyFill="1" applyBorder="1">
      <alignment vertical="center"/>
    </xf>
    <xf numFmtId="0" fontId="7" fillId="11" borderId="2" xfId="5" applyNumberFormat="1" applyFont="1" applyFill="1" applyBorder="1" applyAlignment="1">
      <alignment horizontal="right" vertical="center"/>
    </xf>
    <xf numFmtId="178" fontId="7" fillId="11" borderId="2" xfId="5" applyNumberFormat="1" applyFont="1" applyFill="1" applyBorder="1" applyAlignment="1">
      <alignment horizontal="center" vertical="center"/>
    </xf>
    <xf numFmtId="178" fontId="7" fillId="11" borderId="2" xfId="5" applyNumberFormat="1" applyFont="1" applyFill="1" applyBorder="1">
      <alignment vertical="center"/>
    </xf>
    <xf numFmtId="178" fontId="7" fillId="11" borderId="2" xfId="4" applyNumberFormat="1" applyFont="1" applyFill="1" applyBorder="1">
      <alignment vertical="center"/>
    </xf>
    <xf numFmtId="0" fontId="7" fillId="11" borderId="29" xfId="3" applyNumberFormat="1" applyFont="1" applyFill="1" applyBorder="1">
      <alignment vertical="center"/>
    </xf>
    <xf numFmtId="0" fontId="6" fillId="11" borderId="29" xfId="5" applyNumberFormat="1" applyFont="1" applyFill="1" applyBorder="1">
      <alignment vertical="center"/>
    </xf>
    <xf numFmtId="0" fontId="7" fillId="11" borderId="29" xfId="5" applyNumberFormat="1" applyFont="1" applyFill="1" applyBorder="1">
      <alignment vertical="center"/>
    </xf>
    <xf numFmtId="178" fontId="7" fillId="11" borderId="29" xfId="5" applyNumberFormat="1" applyFont="1" applyFill="1" applyBorder="1">
      <alignment vertical="center"/>
    </xf>
    <xf numFmtId="0" fontId="7" fillId="11" borderId="35" xfId="3" applyNumberFormat="1" applyFont="1" applyFill="1" applyBorder="1">
      <alignment vertical="center"/>
    </xf>
    <xf numFmtId="0" fontId="7" fillId="11" borderId="2" xfId="7" applyNumberFormat="1" applyFont="1" applyFill="1" applyBorder="1" applyAlignment="1">
      <alignment horizontal="center" vertical="center"/>
    </xf>
    <xf numFmtId="0" fontId="7" fillId="11" borderId="34" xfId="3" applyNumberFormat="1" applyFont="1" applyFill="1" applyBorder="1">
      <alignment vertical="center"/>
    </xf>
    <xf numFmtId="41" fontId="7" fillId="11" borderId="0" xfId="13" applyNumberFormat="1" applyFont="1" applyFill="1" applyBorder="1">
      <alignment vertical="center"/>
    </xf>
    <xf numFmtId="178" fontId="7" fillId="11" borderId="0" xfId="7" applyNumberFormat="1" applyFont="1" applyFill="1" applyAlignment="1">
      <alignment horizontal="left" vertical="center" shrinkToFit="1"/>
    </xf>
    <xf numFmtId="0" fontId="6" fillId="11" borderId="6" xfId="3" applyNumberFormat="1" applyFont="1" applyFill="1" applyBorder="1">
      <alignment vertical="center"/>
    </xf>
    <xf numFmtId="0" fontId="6" fillId="11" borderId="4" xfId="3" applyNumberFormat="1" applyFont="1" applyFill="1" applyBorder="1">
      <alignment vertical="center"/>
    </xf>
    <xf numFmtId="0" fontId="7" fillId="11" borderId="4" xfId="3" applyNumberFormat="1" applyFont="1" applyFill="1" applyBorder="1">
      <alignment vertical="center"/>
    </xf>
    <xf numFmtId="41" fontId="7" fillId="11" borderId="4" xfId="4" applyNumberFormat="1" applyFont="1" applyFill="1" applyBorder="1">
      <alignment vertical="center"/>
    </xf>
    <xf numFmtId="178" fontId="7" fillId="11" borderId="4" xfId="4" applyNumberFormat="1" applyFont="1" applyFill="1" applyBorder="1">
      <alignment vertical="center"/>
    </xf>
    <xf numFmtId="178" fontId="7" fillId="11" borderId="8" xfId="4" applyNumberFormat="1" applyFont="1" applyFill="1" applyBorder="1">
      <alignment vertical="center"/>
    </xf>
    <xf numFmtId="0" fontId="7" fillId="11" borderId="0" xfId="2" applyNumberFormat="1" applyFont="1" applyFill="1">
      <alignment vertical="center"/>
    </xf>
    <xf numFmtId="41" fontId="7" fillId="11" borderId="0" xfId="2" applyNumberFormat="1" applyFont="1" applyFill="1">
      <alignment vertical="center"/>
    </xf>
    <xf numFmtId="0" fontId="7" fillId="11" borderId="0" xfId="2" applyNumberFormat="1" applyFont="1" applyFill="1" applyAlignment="1">
      <alignment horizontal="center" vertical="center"/>
    </xf>
    <xf numFmtId="178" fontId="7" fillId="11" borderId="0" xfId="2" applyNumberFormat="1" applyFont="1" applyFill="1">
      <alignment vertical="center"/>
    </xf>
    <xf numFmtId="0" fontId="6" fillId="11" borderId="0" xfId="3" applyNumberFormat="1" applyFont="1" applyFill="1">
      <alignment vertical="center"/>
    </xf>
    <xf numFmtId="0" fontId="7" fillId="11" borderId="8" xfId="3" applyNumberFormat="1" applyFont="1" applyFill="1" applyBorder="1">
      <alignment vertical="center"/>
    </xf>
    <xf numFmtId="41" fontId="7" fillId="11" borderId="8" xfId="4" applyNumberFormat="1" applyFont="1" applyFill="1" applyBorder="1">
      <alignment vertical="center"/>
    </xf>
    <xf numFmtId="178" fontId="7" fillId="11" borderId="8" xfId="3" applyNumberFormat="1" applyFont="1" applyFill="1" applyBorder="1">
      <alignment vertical="center"/>
    </xf>
    <xf numFmtId="0" fontId="6" fillId="11" borderId="6" xfId="5" applyNumberFormat="1" applyFont="1" applyFill="1" applyBorder="1">
      <alignment vertical="center"/>
    </xf>
    <xf numFmtId="0" fontId="6" fillId="11" borderId="4" xfId="5" applyNumberFormat="1" applyFont="1" applyFill="1" applyBorder="1">
      <alignment vertical="center"/>
    </xf>
    <xf numFmtId="0" fontId="7" fillId="11" borderId="4" xfId="5" applyNumberFormat="1" applyFont="1" applyFill="1" applyBorder="1">
      <alignment vertical="center"/>
    </xf>
    <xf numFmtId="178" fontId="7" fillId="11" borderId="4" xfId="5" applyNumberFormat="1" applyFont="1" applyFill="1" applyBorder="1">
      <alignment vertical="center"/>
    </xf>
    <xf numFmtId="178" fontId="6" fillId="11" borderId="4" xfId="5" applyNumberFormat="1" applyFont="1" applyFill="1" applyBorder="1">
      <alignment vertical="center"/>
    </xf>
    <xf numFmtId="0" fontId="6" fillId="11" borderId="5" xfId="3" applyNumberFormat="1" applyFont="1" applyFill="1" applyBorder="1">
      <alignment vertical="center"/>
    </xf>
    <xf numFmtId="41" fontId="6" fillId="11" borderId="5" xfId="4" applyNumberFormat="1" applyFont="1" applyFill="1" applyBorder="1">
      <alignment vertical="center"/>
    </xf>
    <xf numFmtId="178" fontId="6" fillId="11" borderId="5" xfId="4" applyNumberFormat="1" applyFont="1" applyFill="1" applyBorder="1">
      <alignment vertical="center"/>
    </xf>
    <xf numFmtId="178" fontId="6" fillId="11" borderId="5" xfId="3" applyNumberFormat="1" applyFont="1" applyFill="1" applyBorder="1">
      <alignment vertical="center"/>
    </xf>
    <xf numFmtId="0" fontId="7" fillId="11" borderId="5" xfId="8" applyNumberFormat="1" applyFont="1" applyFill="1" applyBorder="1">
      <alignment vertical="center"/>
    </xf>
    <xf numFmtId="178" fontId="7" fillId="11" borderId="5" xfId="8" applyNumberFormat="1" applyFont="1" applyFill="1" applyBorder="1">
      <alignment vertical="center"/>
    </xf>
    <xf numFmtId="41" fontId="7" fillId="11" borderId="5" xfId="9" applyNumberFormat="1" applyFont="1" applyFill="1" applyBorder="1">
      <alignment vertical="center"/>
    </xf>
    <xf numFmtId="0" fontId="6" fillId="11" borderId="6" xfId="0" applyNumberFormat="1" applyFont="1" applyFill="1" applyBorder="1">
      <alignment vertical="center"/>
    </xf>
    <xf numFmtId="0" fontId="6" fillId="11" borderId="4" xfId="0" applyNumberFormat="1" applyFont="1" applyFill="1" applyBorder="1">
      <alignment vertical="center"/>
    </xf>
    <xf numFmtId="0" fontId="7" fillId="11" borderId="4" xfId="0" applyNumberFormat="1" applyFont="1" applyFill="1" applyBorder="1">
      <alignment vertical="center"/>
    </xf>
    <xf numFmtId="0" fontId="13" fillId="11" borderId="0" xfId="3" applyNumberFormat="1" applyFont="1" applyFill="1">
      <alignment vertical="center"/>
    </xf>
    <xf numFmtId="178" fontId="7" fillId="11" borderId="0" xfId="8" applyNumberFormat="1" applyFont="1" applyFill="1">
      <alignment vertical="center"/>
    </xf>
    <xf numFmtId="41" fontId="7" fillId="11" borderId="4" xfId="0" applyNumberFormat="1" applyFont="1" applyFill="1" applyBorder="1">
      <alignment vertical="center"/>
    </xf>
    <xf numFmtId="178" fontId="7" fillId="11" borderId="4" xfId="0" applyNumberFormat="1" applyFont="1" applyFill="1" applyBorder="1">
      <alignment vertical="center"/>
    </xf>
    <xf numFmtId="41" fontId="7" fillId="11" borderId="0" xfId="5" applyNumberFormat="1" applyFont="1" applyFill="1">
      <alignment vertical="center"/>
    </xf>
    <xf numFmtId="0" fontId="1" fillId="11" borderId="2" xfId="3" applyNumberFormat="1" applyFont="1" applyFill="1" applyBorder="1">
      <alignment vertical="center"/>
    </xf>
    <xf numFmtId="0" fontId="6" fillId="11" borderId="2" xfId="5" applyNumberFormat="1" applyFont="1" applyFill="1" applyBorder="1">
      <alignment vertical="center"/>
    </xf>
    <xf numFmtId="178" fontId="6" fillId="11" borderId="2" xfId="3" applyNumberFormat="1" applyFont="1" applyFill="1" applyBorder="1">
      <alignment vertical="center"/>
    </xf>
    <xf numFmtId="0" fontId="7" fillId="0" borderId="13" xfId="3" applyNumberFormat="1" applyFont="1" applyBorder="1">
      <alignment vertical="center"/>
    </xf>
    <xf numFmtId="176" fontId="7" fillId="11" borderId="0" xfId="0" applyNumberFormat="1" applyFont="1" applyFill="1" applyAlignment="1">
      <alignment horizontal="center" vertical="center"/>
    </xf>
    <xf numFmtId="176" fontId="7" fillId="11" borderId="4" xfId="3" applyNumberFormat="1" applyFont="1" applyFill="1" applyBorder="1">
      <alignment vertical="center"/>
    </xf>
    <xf numFmtId="176" fontId="7" fillId="11" borderId="4" xfId="3" applyNumberFormat="1" applyFont="1" applyFill="1" applyBorder="1" applyAlignment="1">
      <alignment horizontal="center" vertical="center"/>
    </xf>
    <xf numFmtId="176" fontId="7" fillId="11" borderId="0" xfId="3" applyNumberFormat="1" applyFont="1" applyFill="1">
      <alignment vertical="center"/>
    </xf>
    <xf numFmtId="176" fontId="6" fillId="11" borderId="4" xfId="3" applyNumberFormat="1" applyFont="1" applyFill="1" applyBorder="1">
      <alignment vertical="center"/>
    </xf>
    <xf numFmtId="176" fontId="7" fillId="11" borderId="4" xfId="3" applyNumberFormat="1" applyFont="1" applyFill="1" applyBorder="1" applyAlignment="1">
      <alignment vertical="center" shrinkToFit="1"/>
    </xf>
    <xf numFmtId="176" fontId="6" fillId="11" borderId="4" xfId="3" applyNumberFormat="1" applyFont="1" applyFill="1" applyBorder="1" applyAlignment="1">
      <alignment vertical="center" shrinkToFit="1"/>
    </xf>
    <xf numFmtId="176" fontId="7" fillId="11" borderId="0" xfId="3" applyNumberFormat="1" applyFont="1" applyFill="1" applyAlignment="1">
      <alignment vertical="center" shrinkToFit="1"/>
    </xf>
    <xf numFmtId="176" fontId="7" fillId="11" borderId="5" xfId="3" applyNumberFormat="1" applyFont="1" applyFill="1" applyBorder="1">
      <alignment vertical="center"/>
    </xf>
    <xf numFmtId="176" fontId="7" fillId="11" borderId="5" xfId="3" applyNumberFormat="1" applyFont="1" applyFill="1" applyBorder="1" applyAlignment="1">
      <alignment vertical="center" shrinkToFit="1"/>
    </xf>
    <xf numFmtId="0" fontId="5" fillId="9" borderId="33" xfId="3" applyNumberFormat="1" applyFont="1" applyFill="1" applyBorder="1" applyAlignment="1">
      <alignment horizontal="left" vertical="center"/>
    </xf>
    <xf numFmtId="177" fontId="5" fillId="9" borderId="26" xfId="4" applyNumberFormat="1" applyFont="1" applyFill="1" applyBorder="1">
      <alignment vertical="center"/>
    </xf>
    <xf numFmtId="0" fontId="5" fillId="9" borderId="26" xfId="3" applyNumberFormat="1" applyFont="1" applyFill="1" applyBorder="1" applyAlignment="1">
      <alignment horizontal="center" vertical="center"/>
    </xf>
    <xf numFmtId="0" fontId="5" fillId="9" borderId="8" xfId="3" applyNumberFormat="1" applyFont="1" applyFill="1" applyBorder="1" applyAlignment="1">
      <alignment horizontal="center" vertical="center"/>
    </xf>
    <xf numFmtId="0" fontId="5" fillId="9" borderId="8" xfId="3" applyNumberFormat="1" applyFont="1" applyFill="1" applyBorder="1" applyAlignment="1">
      <alignment horizontal="center" vertical="center" shrinkToFit="1"/>
    </xf>
    <xf numFmtId="41" fontId="5" fillId="9" borderId="8" xfId="3" applyNumberFormat="1" applyFont="1" applyFill="1" applyBorder="1" applyAlignment="1">
      <alignment horizontal="center" vertical="center" shrinkToFit="1"/>
    </xf>
    <xf numFmtId="178" fontId="6" fillId="9" borderId="8" xfId="3" applyNumberFormat="1" applyFont="1" applyFill="1" applyBorder="1" applyAlignment="1">
      <alignment horizontal="center" vertical="center" shrinkToFit="1"/>
    </xf>
    <xf numFmtId="0" fontId="5" fillId="9" borderId="24" xfId="3" applyNumberFormat="1" applyFont="1" applyFill="1" applyBorder="1" applyAlignment="1">
      <alignment horizontal="center" vertical="center"/>
    </xf>
    <xf numFmtId="178" fontId="7" fillId="11" borderId="5" xfId="7" applyNumberFormat="1" applyFont="1" applyFill="1" applyBorder="1" applyAlignment="1">
      <alignment horizontal="left" vertical="center" shrinkToFit="1"/>
    </xf>
    <xf numFmtId="178" fontId="6" fillId="11" borderId="5" xfId="3" applyNumberFormat="1" applyFont="1" applyFill="1" applyBorder="1" applyAlignment="1">
      <alignment vertical="center" shrinkToFit="1"/>
    </xf>
    <xf numFmtId="0" fontId="7" fillId="11" borderId="4" xfId="3" applyNumberFormat="1" applyFont="1" applyFill="1" applyBorder="1" applyAlignment="1">
      <alignment vertical="center" shrinkToFit="1"/>
    </xf>
    <xf numFmtId="178" fontId="7" fillId="11" borderId="0" xfId="3" applyNumberFormat="1" applyFont="1" applyFill="1" applyAlignment="1">
      <alignment vertical="center" shrinkToFit="1"/>
    </xf>
    <xf numFmtId="178" fontId="6" fillId="11" borderId="4" xfId="3" applyNumberFormat="1" applyFont="1" applyFill="1" applyBorder="1" applyAlignment="1">
      <alignment vertical="center" shrinkToFit="1"/>
    </xf>
    <xf numFmtId="178" fontId="7" fillId="11" borderId="0" xfId="10" applyNumberFormat="1" applyFont="1" applyFill="1" applyAlignment="1">
      <alignment vertical="center" shrinkToFit="1"/>
    </xf>
    <xf numFmtId="176" fontId="3" fillId="11" borderId="5" xfId="3" applyNumberFormat="1" applyFont="1" applyFill="1" applyBorder="1" applyAlignment="1">
      <alignment vertical="center" shrinkToFit="1"/>
    </xf>
    <xf numFmtId="176" fontId="3" fillId="11" borderId="5" xfId="3" applyNumberFormat="1" applyFont="1" applyFill="1" applyBorder="1">
      <alignment vertical="center"/>
    </xf>
    <xf numFmtId="41" fontId="3" fillId="11" borderId="5" xfId="3" applyNumberFormat="1" applyFont="1" applyFill="1" applyBorder="1" applyAlignment="1">
      <alignment vertical="center" shrinkToFit="1"/>
    </xf>
    <xf numFmtId="0" fontId="7" fillId="11" borderId="0" xfId="0" applyNumberFormat="1" applyFont="1" applyFill="1" applyAlignment="1">
      <alignment vertical="center" shrinkToFit="1"/>
    </xf>
    <xf numFmtId="41" fontId="7" fillId="11" borderId="0" xfId="0" applyNumberFormat="1" applyFont="1" applyFill="1">
      <alignment vertical="center"/>
    </xf>
    <xf numFmtId="178" fontId="7" fillId="11" borderId="0" xfId="0" applyNumberFormat="1" applyFont="1" applyFill="1" applyAlignment="1">
      <alignment horizontal="left" vertical="center" shrinkToFit="1"/>
    </xf>
    <xf numFmtId="178" fontId="7" fillId="11" borderId="0" xfId="0" applyNumberFormat="1" applyFont="1" applyFill="1" applyAlignment="1">
      <alignment vertical="center" shrinkToFit="1"/>
    </xf>
    <xf numFmtId="180" fontId="7" fillId="11" borderId="0" xfId="0" applyNumberFormat="1" applyFont="1" applyFill="1">
      <alignment vertical="center"/>
    </xf>
    <xf numFmtId="0" fontId="7" fillId="11" borderId="4" xfId="0" applyNumberFormat="1" applyFont="1" applyFill="1" applyBorder="1" applyAlignment="1">
      <alignment vertical="center" shrinkToFit="1"/>
    </xf>
    <xf numFmtId="176" fontId="7" fillId="11" borderId="4" xfId="0" applyNumberFormat="1" applyFont="1" applyFill="1" applyBorder="1" applyAlignment="1">
      <alignment vertical="center" shrinkToFit="1"/>
    </xf>
    <xf numFmtId="176" fontId="7" fillId="11" borderId="4" xfId="0" applyNumberFormat="1" applyFont="1" applyFill="1" applyBorder="1">
      <alignment vertical="center"/>
    </xf>
    <xf numFmtId="176" fontId="7" fillId="11" borderId="8" xfId="0" applyNumberFormat="1" applyFont="1" applyFill="1" applyBorder="1" applyAlignment="1">
      <alignment horizontal="center" vertical="center"/>
    </xf>
    <xf numFmtId="180" fontId="7" fillId="11" borderId="8" xfId="0" applyNumberFormat="1" applyFont="1" applyFill="1" applyBorder="1">
      <alignment vertical="center"/>
    </xf>
    <xf numFmtId="178" fontId="6" fillId="11" borderId="4" xfId="3" applyNumberFormat="1" applyFont="1" applyFill="1" applyBorder="1" applyAlignment="1">
      <alignment vertical="center" shrinkToFit="1"/>
    </xf>
    <xf numFmtId="0" fontId="6" fillId="11" borderId="4" xfId="3" applyNumberFormat="1" applyFont="1" applyFill="1" applyBorder="1">
      <alignment vertical="center"/>
    </xf>
    <xf numFmtId="0" fontId="7" fillId="11" borderId="4" xfId="3" applyNumberFormat="1" applyFont="1" applyFill="1" applyBorder="1">
      <alignment vertical="center"/>
    </xf>
    <xf numFmtId="176" fontId="6" fillId="11" borderId="0" xfId="3" applyNumberFormat="1" applyFont="1" applyFill="1" applyAlignment="1">
      <alignment vertical="center" shrinkToFit="1"/>
    </xf>
    <xf numFmtId="176" fontId="6" fillId="11" borderId="0" xfId="3" applyNumberFormat="1" applyFont="1" applyFill="1">
      <alignment vertical="center"/>
    </xf>
    <xf numFmtId="41" fontId="6" fillId="11" borderId="0" xfId="3" applyNumberFormat="1" applyFont="1" applyFill="1" applyAlignment="1">
      <alignment vertical="center" shrinkToFit="1"/>
    </xf>
    <xf numFmtId="41" fontId="7" fillId="11" borderId="0" xfId="3" applyNumberFormat="1" applyFont="1" applyFill="1" applyAlignment="1">
      <alignment vertical="center" shrinkToFit="1"/>
    </xf>
    <xf numFmtId="178" fontId="6" fillId="11" borderId="0" xfId="3" applyNumberFormat="1" applyFont="1" applyFill="1" applyAlignment="1">
      <alignment vertical="center" shrinkToFit="1"/>
    </xf>
    <xf numFmtId="176" fontId="7" fillId="11" borderId="4" xfId="3" applyNumberFormat="1" applyFont="1" applyFill="1" applyBorder="1" applyAlignment="1">
      <alignment vertical="center" shrinkToFit="1"/>
    </xf>
    <xf numFmtId="176" fontId="7" fillId="11" borderId="4" xfId="3" applyNumberFormat="1" applyFont="1" applyFill="1" applyBorder="1">
      <alignment vertical="center"/>
    </xf>
    <xf numFmtId="41" fontId="7" fillId="11" borderId="4" xfId="3" applyNumberFormat="1" applyFont="1" applyFill="1" applyBorder="1" applyAlignment="1">
      <alignment vertical="center" shrinkToFit="1"/>
    </xf>
    <xf numFmtId="0" fontId="7" fillId="11" borderId="4" xfId="3" applyNumberFormat="1" applyFont="1" applyFill="1" applyBorder="1" applyAlignment="1">
      <alignment vertical="center" shrinkToFit="1"/>
    </xf>
    <xf numFmtId="177" fontId="3" fillId="11" borderId="20" xfId="3" applyNumberFormat="1" applyFont="1" applyFill="1" applyBorder="1" applyAlignment="1">
      <alignment horizontal="right" vertical="center"/>
    </xf>
    <xf numFmtId="0" fontId="3" fillId="11" borderId="20" xfId="3" applyNumberFormat="1" applyFont="1" applyFill="1" applyBorder="1" applyAlignment="1">
      <alignment horizontal="center" vertical="center"/>
    </xf>
    <xf numFmtId="0" fontId="3" fillId="11" borderId="5" xfId="3" applyNumberFormat="1" applyFont="1" applyFill="1" applyBorder="1" applyAlignment="1">
      <alignment horizontal="center" vertical="center"/>
    </xf>
    <xf numFmtId="0" fontId="3" fillId="11" borderId="5" xfId="3" applyNumberFormat="1" applyFont="1" applyFill="1" applyBorder="1" applyAlignment="1">
      <alignment horizontal="center" vertical="center" shrinkToFit="1"/>
    </xf>
    <xf numFmtId="41" fontId="3" fillId="11" borderId="5" xfId="3" applyNumberFormat="1" applyFont="1" applyFill="1" applyBorder="1" applyAlignment="1">
      <alignment horizontal="center" vertical="center" shrinkToFit="1"/>
    </xf>
    <xf numFmtId="178" fontId="7" fillId="11" borderId="5" xfId="3" applyNumberFormat="1" applyFont="1" applyFill="1" applyBorder="1" applyAlignment="1">
      <alignment horizontal="center" vertical="center" shrinkToFit="1"/>
    </xf>
    <xf numFmtId="0" fontId="3" fillId="11" borderId="22" xfId="3" applyNumberFormat="1" applyFont="1" applyFill="1" applyBorder="1" applyAlignment="1">
      <alignment horizontal="center" vertical="center"/>
    </xf>
    <xf numFmtId="0" fontId="7" fillId="11" borderId="7" xfId="3" applyNumberFormat="1" applyFont="1" applyFill="1" applyBorder="1">
      <alignment vertical="center"/>
    </xf>
    <xf numFmtId="177" fontId="5" fillId="11" borderId="20" xfId="0" applyNumberFormat="1" applyFont="1" applyFill="1" applyBorder="1" applyAlignment="1">
      <alignment horizontal="right" vertical="center"/>
    </xf>
    <xf numFmtId="0" fontId="6" fillId="11" borderId="20" xfId="0" applyNumberFormat="1" applyFont="1" applyFill="1" applyBorder="1" applyAlignment="1">
      <alignment horizontal="center" vertical="center"/>
    </xf>
    <xf numFmtId="0" fontId="6" fillId="11" borderId="5" xfId="0" applyNumberFormat="1" applyFont="1" applyFill="1" applyBorder="1" applyAlignment="1">
      <alignment horizontal="center" vertical="center"/>
    </xf>
    <xf numFmtId="0" fontId="6" fillId="11" borderId="5" xfId="0" applyNumberFormat="1" applyFont="1" applyFill="1" applyBorder="1" applyAlignment="1">
      <alignment horizontal="center" vertical="center" shrinkToFit="1"/>
    </xf>
    <xf numFmtId="41" fontId="6" fillId="11" borderId="5" xfId="0" applyNumberFormat="1" applyFont="1" applyFill="1" applyBorder="1" applyAlignment="1">
      <alignment horizontal="center" vertical="center" shrinkToFit="1"/>
    </xf>
    <xf numFmtId="178" fontId="6" fillId="11" borderId="5" xfId="0" applyNumberFormat="1" applyFont="1" applyFill="1" applyBorder="1" applyAlignment="1">
      <alignment horizontal="center" vertical="center" shrinkToFit="1"/>
    </xf>
    <xf numFmtId="0" fontId="5" fillId="11" borderId="22" xfId="0" applyNumberFormat="1" applyFont="1" applyFill="1" applyBorder="1" applyAlignment="1">
      <alignment horizontal="center" vertical="center"/>
    </xf>
    <xf numFmtId="0" fontId="3" fillId="11" borderId="23" xfId="0" applyNumberFormat="1" applyFont="1" applyFill="1" applyBorder="1">
      <alignment vertical="center"/>
    </xf>
    <xf numFmtId="0" fontId="5" fillId="11" borderId="12" xfId="0" applyNumberFormat="1" applyFont="1" applyFill="1" applyBorder="1">
      <alignment vertical="center"/>
    </xf>
    <xf numFmtId="0" fontId="5" fillId="11" borderId="20" xfId="0" applyNumberFormat="1" applyFont="1" applyFill="1" applyBorder="1">
      <alignment vertical="center"/>
    </xf>
    <xf numFmtId="0" fontId="5" fillId="11" borderId="5" xfId="0" applyNumberFormat="1" applyFont="1" applyFill="1" applyBorder="1">
      <alignment vertical="center"/>
    </xf>
    <xf numFmtId="0" fontId="5" fillId="11" borderId="9" xfId="0" applyNumberFormat="1" applyFont="1" applyFill="1" applyBorder="1">
      <alignment vertical="center"/>
    </xf>
    <xf numFmtId="177" fontId="3" fillId="11" borderId="12" xfId="0" applyNumberFormat="1" applyFont="1" applyFill="1" applyBorder="1">
      <alignment vertical="center"/>
    </xf>
    <xf numFmtId="0" fontId="9" fillId="11" borderId="20" xfId="0" applyNumberFormat="1" applyFont="1" applyFill="1" applyBorder="1">
      <alignment vertical="center"/>
    </xf>
    <xf numFmtId="178" fontId="7" fillId="11" borderId="5" xfId="0" applyNumberFormat="1" applyFont="1" applyFill="1" applyBorder="1" applyAlignment="1">
      <alignment horizontal="left" vertical="center" shrinkToFit="1"/>
    </xf>
    <xf numFmtId="176" fontId="7" fillId="11" borderId="5" xfId="0" applyNumberFormat="1" applyFont="1" applyFill="1" applyBorder="1" applyAlignment="1">
      <alignment vertical="center" shrinkToFit="1"/>
    </xf>
    <xf numFmtId="176" fontId="7" fillId="11" borderId="5" xfId="0" applyNumberFormat="1" applyFont="1" applyFill="1" applyBorder="1">
      <alignment vertical="center"/>
    </xf>
    <xf numFmtId="41" fontId="7" fillId="11" borderId="5" xfId="0" applyNumberFormat="1" applyFont="1" applyFill="1" applyBorder="1" applyAlignment="1">
      <alignment vertical="center" shrinkToFit="1"/>
    </xf>
    <xf numFmtId="178" fontId="6" fillId="11" borderId="5" xfId="0" applyNumberFormat="1" applyFont="1" applyFill="1" applyBorder="1" applyAlignment="1">
      <alignment vertical="center" shrinkToFit="1"/>
    </xf>
    <xf numFmtId="0" fontId="3" fillId="11" borderId="22" xfId="0" applyNumberFormat="1" applyFont="1" applyFill="1" applyBorder="1">
      <alignment vertical="center"/>
    </xf>
    <xf numFmtId="0" fontId="5" fillId="11" borderId="10" xfId="0" applyNumberFormat="1" applyFont="1" applyFill="1" applyBorder="1">
      <alignment vertical="center"/>
    </xf>
    <xf numFmtId="0" fontId="3" fillId="11" borderId="10" xfId="0" applyNumberFormat="1" applyFont="1" applyFill="1" applyBorder="1">
      <alignment vertical="center"/>
    </xf>
    <xf numFmtId="0" fontId="3" fillId="11" borderId="12" xfId="0" applyNumberFormat="1" applyFont="1" applyFill="1" applyBorder="1">
      <alignment vertical="center"/>
    </xf>
    <xf numFmtId="0" fontId="3" fillId="11" borderId="20" xfId="0" applyNumberFormat="1" applyFont="1" applyFill="1" applyBorder="1">
      <alignment vertical="center"/>
    </xf>
    <xf numFmtId="0" fontId="3" fillId="11" borderId="9" xfId="0" applyNumberFormat="1" applyFont="1" applyFill="1" applyBorder="1">
      <alignment vertical="center"/>
    </xf>
    <xf numFmtId="0" fontId="3" fillId="11" borderId="17" xfId="0" applyNumberFormat="1" applyFont="1" applyFill="1" applyBorder="1">
      <alignment vertical="center"/>
    </xf>
    <xf numFmtId="0" fontId="3" fillId="11" borderId="0" xfId="0" applyNumberFormat="1" applyFont="1" applyFill="1">
      <alignment vertical="center"/>
    </xf>
    <xf numFmtId="0" fontId="3" fillId="11" borderId="16" xfId="0" applyNumberFormat="1" applyFont="1" applyFill="1" applyBorder="1">
      <alignment vertical="center"/>
    </xf>
    <xf numFmtId="177" fontId="3" fillId="11" borderId="16" xfId="0" applyNumberFormat="1" applyFont="1" applyFill="1" applyBorder="1">
      <alignment vertical="center"/>
    </xf>
    <xf numFmtId="41" fontId="7" fillId="11" borderId="4" xfId="0" applyNumberFormat="1" applyFont="1" applyFill="1" applyBorder="1" applyAlignment="1">
      <alignment vertical="center" shrinkToFit="1"/>
    </xf>
    <xf numFmtId="178" fontId="6" fillId="11" borderId="4" xfId="0" applyNumberFormat="1" applyFont="1" applyFill="1" applyBorder="1" applyAlignment="1">
      <alignment vertical="center" shrinkToFit="1"/>
    </xf>
    <xf numFmtId="0" fontId="3" fillId="11" borderId="7" xfId="0" applyNumberFormat="1" applyFont="1" applyFill="1" applyBorder="1">
      <alignment vertical="center"/>
    </xf>
    <xf numFmtId="0" fontId="3" fillId="11" borderId="18" xfId="0" applyNumberFormat="1" applyFont="1" applyFill="1" applyBorder="1">
      <alignment vertical="center"/>
    </xf>
    <xf numFmtId="177" fontId="3" fillId="11" borderId="10" xfId="0" applyNumberFormat="1" applyFont="1" applyFill="1" applyBorder="1">
      <alignment vertical="center"/>
    </xf>
    <xf numFmtId="0" fontId="6" fillId="11" borderId="17" xfId="0" applyNumberFormat="1" applyFont="1" applyFill="1" applyBorder="1">
      <alignment vertical="center"/>
    </xf>
    <xf numFmtId="0" fontId="7" fillId="11" borderId="8" xfId="0" applyNumberFormat="1" applyFont="1" applyFill="1" applyBorder="1">
      <alignment vertical="center"/>
    </xf>
    <xf numFmtId="0" fontId="7" fillId="11" borderId="8" xfId="0" applyNumberFormat="1" applyFont="1" applyFill="1" applyBorder="1" applyAlignment="1">
      <alignment horizontal="center" vertical="center"/>
    </xf>
    <xf numFmtId="41" fontId="7" fillId="11" borderId="8" xfId="0" applyNumberFormat="1" applyFont="1" applyFill="1" applyBorder="1" applyAlignment="1">
      <alignment vertical="center" shrinkToFit="1"/>
    </xf>
    <xf numFmtId="176" fontId="7" fillId="11" borderId="8" xfId="0" applyNumberFormat="1" applyFont="1" applyFill="1" applyBorder="1">
      <alignment vertical="center"/>
    </xf>
    <xf numFmtId="178" fontId="6" fillId="11" borderId="0" xfId="0" applyNumberFormat="1" applyFont="1" applyFill="1" applyAlignment="1">
      <alignment vertical="center" shrinkToFit="1"/>
    </xf>
    <xf numFmtId="0" fontId="3" fillId="11" borderId="19" xfId="0" applyNumberFormat="1" applyFont="1" applyFill="1" applyBorder="1">
      <alignment vertical="center"/>
    </xf>
    <xf numFmtId="0" fontId="5" fillId="11" borderId="23" xfId="0" applyNumberFormat="1" applyFont="1" applyFill="1" applyBorder="1">
      <alignment vertical="center"/>
    </xf>
    <xf numFmtId="0" fontId="5" fillId="11" borderId="0" xfId="0" applyNumberFormat="1" applyFont="1" applyFill="1">
      <alignment vertical="center"/>
    </xf>
    <xf numFmtId="0" fontId="5" fillId="11" borderId="16" xfId="0" applyNumberFormat="1" applyFont="1" applyFill="1" applyBorder="1">
      <alignment vertical="center"/>
    </xf>
    <xf numFmtId="0" fontId="3" fillId="11" borderId="5" xfId="0" applyNumberFormat="1" applyFont="1" applyFill="1" applyBorder="1">
      <alignment vertical="center"/>
    </xf>
    <xf numFmtId="0" fontId="6" fillId="11" borderId="20" xfId="0" applyNumberFormat="1" applyFont="1" applyFill="1" applyBorder="1">
      <alignment vertical="center"/>
    </xf>
    <xf numFmtId="0" fontId="6" fillId="11" borderId="5" xfId="0" applyNumberFormat="1" applyFont="1" applyFill="1" applyBorder="1" applyAlignment="1">
      <alignment horizontal="left" vertical="center"/>
    </xf>
    <xf numFmtId="0" fontId="6" fillId="11" borderId="5" xfId="0" applyNumberFormat="1" applyFont="1" applyFill="1" applyBorder="1">
      <alignment vertical="center"/>
    </xf>
    <xf numFmtId="0" fontId="6" fillId="11" borderId="5" xfId="0" applyNumberFormat="1" applyFont="1" applyFill="1" applyBorder="1" applyAlignment="1">
      <alignment vertical="center" shrinkToFit="1"/>
    </xf>
    <xf numFmtId="176" fontId="6" fillId="11" borderId="5" xfId="0" applyNumberFormat="1" applyFont="1" applyFill="1" applyBorder="1" applyAlignment="1">
      <alignment vertical="center" shrinkToFit="1"/>
    </xf>
    <xf numFmtId="176" fontId="6" fillId="11" borderId="5" xfId="0" applyNumberFormat="1" applyFont="1" applyFill="1" applyBorder="1">
      <alignment vertical="center"/>
    </xf>
    <xf numFmtId="41" fontId="6" fillId="11" borderId="5" xfId="0" applyNumberFormat="1" applyFont="1" applyFill="1" applyBorder="1" applyAlignment="1">
      <alignment vertical="center" shrinkToFit="1"/>
    </xf>
    <xf numFmtId="0" fontId="5" fillId="11" borderId="7" xfId="0" applyNumberFormat="1" applyFont="1" applyFill="1" applyBorder="1">
      <alignment vertical="center"/>
    </xf>
    <xf numFmtId="0" fontId="3" fillId="11" borderId="6" xfId="0" applyNumberFormat="1" applyFont="1" applyFill="1" applyBorder="1">
      <alignment vertical="center"/>
    </xf>
    <xf numFmtId="0" fontId="6" fillId="11" borderId="0" xfId="0" applyNumberFormat="1" applyFont="1" applyFill="1">
      <alignment vertical="center"/>
    </xf>
    <xf numFmtId="0" fontId="9" fillId="11" borderId="17" xfId="0" applyNumberFormat="1" applyFont="1" applyFill="1" applyBorder="1">
      <alignment vertical="center"/>
    </xf>
    <xf numFmtId="0" fontId="5" fillId="11" borderId="19" xfId="0" applyNumberFormat="1" applyFont="1" applyFill="1" applyBorder="1">
      <alignment vertical="center"/>
    </xf>
    <xf numFmtId="0" fontId="3" fillId="11" borderId="15" xfId="0" applyNumberFormat="1" applyFont="1" applyFill="1" applyBorder="1">
      <alignment vertical="center"/>
    </xf>
    <xf numFmtId="177" fontId="3" fillId="11" borderId="15" xfId="0" applyNumberFormat="1" applyFont="1" applyFill="1" applyBorder="1">
      <alignment vertical="center"/>
    </xf>
    <xf numFmtId="0" fontId="9" fillId="11" borderId="26" xfId="0" applyNumberFormat="1" applyFont="1" applyFill="1" applyBorder="1">
      <alignment vertical="center"/>
    </xf>
    <xf numFmtId="178" fontId="6" fillId="11" borderId="8" xfId="0" applyNumberFormat="1" applyFont="1" applyFill="1" applyBorder="1" applyAlignment="1">
      <alignment vertical="center" shrinkToFit="1"/>
    </xf>
    <xf numFmtId="0" fontId="5" fillId="11" borderId="24" xfId="0" applyNumberFormat="1" applyFont="1" applyFill="1" applyBorder="1">
      <alignment vertical="center"/>
    </xf>
    <xf numFmtId="0" fontId="7" fillId="11" borderId="5" xfId="0" applyNumberFormat="1" applyFont="1" applyFill="1" applyBorder="1">
      <alignment vertical="center"/>
    </xf>
    <xf numFmtId="0" fontId="7" fillId="11" borderId="5" xfId="0" applyNumberFormat="1" applyFont="1" applyFill="1" applyBorder="1" applyAlignment="1">
      <alignment vertical="center" shrinkToFit="1"/>
    </xf>
    <xf numFmtId="0" fontId="3" fillId="11" borderId="24" xfId="0" applyNumberFormat="1" applyFont="1" applyFill="1" applyBorder="1">
      <alignment vertical="center"/>
    </xf>
    <xf numFmtId="176" fontId="7" fillId="11" borderId="0" xfId="0" applyNumberFormat="1" applyFont="1" applyFill="1" applyAlignment="1">
      <alignment vertical="center" shrinkToFit="1"/>
    </xf>
    <xf numFmtId="176" fontId="7" fillId="11" borderId="0" xfId="0" applyNumberFormat="1" applyFont="1" applyFill="1">
      <alignment vertical="center"/>
    </xf>
    <xf numFmtId="41" fontId="7" fillId="11" borderId="0" xfId="0" applyNumberFormat="1" applyFont="1" applyFill="1" applyAlignment="1">
      <alignment vertical="center" shrinkToFit="1"/>
    </xf>
    <xf numFmtId="0" fontId="6" fillId="11" borderId="26" xfId="0" applyNumberFormat="1" applyFont="1" applyFill="1" applyBorder="1">
      <alignment vertical="center"/>
    </xf>
    <xf numFmtId="181" fontId="7" fillId="11" borderId="0" xfId="0" applyNumberFormat="1" applyFont="1" applyFill="1">
      <alignment vertical="center"/>
    </xf>
    <xf numFmtId="0" fontId="3" fillId="11" borderId="11" xfId="0" applyNumberFormat="1" applyFont="1" applyFill="1" applyBorder="1">
      <alignment vertical="center"/>
    </xf>
    <xf numFmtId="0" fontId="5" fillId="11" borderId="15" xfId="0" applyNumberFormat="1" applyFont="1" applyFill="1" applyBorder="1">
      <alignment vertical="center"/>
    </xf>
    <xf numFmtId="177" fontId="5" fillId="11" borderId="10" xfId="0" applyNumberFormat="1" applyFont="1" applyFill="1" applyBorder="1">
      <alignment vertical="center"/>
    </xf>
    <xf numFmtId="177" fontId="5" fillId="11" borderId="12" xfId="0" applyNumberFormat="1" applyFont="1" applyFill="1" applyBorder="1">
      <alignment vertical="center"/>
    </xf>
    <xf numFmtId="0" fontId="5" fillId="11" borderId="22" xfId="0" applyNumberFormat="1" applyFont="1" applyFill="1" applyBorder="1">
      <alignment vertical="center"/>
    </xf>
    <xf numFmtId="0" fontId="5" fillId="11" borderId="18" xfId="0" applyNumberFormat="1" applyFont="1" applyFill="1" applyBorder="1">
      <alignment vertical="center"/>
    </xf>
    <xf numFmtId="0" fontId="5" fillId="11" borderId="21" xfId="0" applyNumberFormat="1" applyFont="1" applyFill="1" applyBorder="1">
      <alignment vertical="center"/>
    </xf>
    <xf numFmtId="0" fontId="6" fillId="11" borderId="4" xfId="0" applyNumberFormat="1" applyFont="1" applyFill="1" applyBorder="1" applyAlignment="1">
      <alignment vertical="center" shrinkToFit="1"/>
    </xf>
    <xf numFmtId="176" fontId="6" fillId="11" borderId="4" xfId="0" applyNumberFormat="1" applyFont="1" applyFill="1" applyBorder="1" applyAlignment="1">
      <alignment vertical="center" shrinkToFit="1"/>
    </xf>
    <xf numFmtId="176" fontId="6" fillId="11" borderId="4" xfId="0" applyNumberFormat="1" applyFont="1" applyFill="1" applyBorder="1">
      <alignment vertical="center"/>
    </xf>
    <xf numFmtId="41" fontId="6" fillId="11" borderId="4" xfId="0" applyNumberFormat="1" applyFont="1" applyFill="1" applyBorder="1" applyAlignment="1">
      <alignment vertical="center" shrinkToFit="1"/>
    </xf>
    <xf numFmtId="9" fontId="9" fillId="11" borderId="0" xfId="0" applyNumberFormat="1" applyFont="1" applyFill="1">
      <alignment vertical="center"/>
    </xf>
    <xf numFmtId="0" fontId="7" fillId="11" borderId="8" xfId="0" applyNumberFormat="1" applyFont="1" applyFill="1" applyBorder="1" applyAlignment="1">
      <alignment vertical="center" shrinkToFit="1"/>
    </xf>
    <xf numFmtId="9" fontId="9" fillId="11" borderId="8" xfId="0" applyNumberFormat="1" applyFont="1" applyFill="1" applyBorder="1">
      <alignment vertical="center"/>
    </xf>
    <xf numFmtId="41" fontId="7" fillId="11" borderId="0" xfId="0" applyNumberFormat="1" applyFont="1" applyFill="1" applyAlignment="1">
      <alignment horizontal="center" vertical="center"/>
    </xf>
    <xf numFmtId="177" fontId="5" fillId="11" borderId="12" xfId="0" applyNumberFormat="1" applyFont="1" applyFill="1" applyBorder="1" applyAlignment="1">
      <alignment horizontal="right" vertical="center"/>
    </xf>
    <xf numFmtId="0" fontId="5" fillId="11" borderId="26" xfId="0" applyNumberFormat="1" applyFont="1" applyFill="1" applyBorder="1">
      <alignment vertical="center"/>
    </xf>
    <xf numFmtId="0" fontId="5" fillId="11" borderId="8" xfId="0" applyNumberFormat="1" applyFont="1" applyFill="1" applyBorder="1">
      <alignment vertical="center"/>
    </xf>
    <xf numFmtId="0" fontId="5" fillId="11" borderId="27" xfId="0" applyNumberFormat="1" applyFont="1" applyFill="1" applyBorder="1">
      <alignment vertical="center"/>
    </xf>
    <xf numFmtId="0" fontId="6" fillId="11" borderId="4" xfId="3" applyNumberFormat="1" applyFont="1" applyFill="1" applyBorder="1">
      <alignment vertical="center"/>
    </xf>
    <xf numFmtId="0" fontId="7" fillId="11" borderId="4" xfId="3" applyNumberFormat="1" applyFont="1" applyFill="1" applyBorder="1">
      <alignment vertical="center"/>
    </xf>
    <xf numFmtId="176" fontId="7" fillId="11" borderId="4" xfId="3" applyNumberFormat="1" applyFont="1" applyFill="1" applyBorder="1" applyAlignment="1">
      <alignment horizontal="center" vertical="center"/>
    </xf>
    <xf numFmtId="176" fontId="7" fillId="11" borderId="4" xfId="3" applyNumberFormat="1" applyFont="1" applyFill="1" applyBorder="1">
      <alignment vertical="center"/>
    </xf>
    <xf numFmtId="176" fontId="7" fillId="11" borderId="4" xfId="3" applyNumberFormat="1" applyFont="1" applyFill="1" applyBorder="1" applyAlignment="1">
      <alignment vertical="center" shrinkToFit="1"/>
    </xf>
    <xf numFmtId="0" fontId="7" fillId="11" borderId="0" xfId="3" applyNumberFormat="1" applyFont="1" applyFill="1">
      <alignment vertical="center"/>
    </xf>
    <xf numFmtId="176" fontId="7" fillId="11" borderId="0" xfId="11" applyNumberFormat="1" applyFont="1" applyFill="1">
      <alignment vertical="center"/>
    </xf>
    <xf numFmtId="41" fontId="7" fillId="11" borderId="0" xfId="11" applyNumberFormat="1" applyFont="1" applyFill="1" applyAlignment="1">
      <alignment horizontal="center" vertical="center"/>
    </xf>
    <xf numFmtId="178" fontId="6" fillId="11" borderId="4" xfId="3" applyNumberFormat="1" applyFont="1" applyFill="1" applyBorder="1" applyAlignment="1">
      <alignment vertical="center" shrinkToFit="1"/>
    </xf>
    <xf numFmtId="41" fontId="6" fillId="11" borderId="4" xfId="3" applyNumberFormat="1" applyFont="1" applyFill="1" applyBorder="1" applyAlignment="1">
      <alignment vertical="center" shrinkToFit="1"/>
    </xf>
    <xf numFmtId="41" fontId="7" fillId="11" borderId="4" xfId="3" applyNumberFormat="1" applyFont="1" applyFill="1" applyBorder="1" applyAlignment="1">
      <alignment vertical="center" shrinkToFit="1"/>
    </xf>
    <xf numFmtId="41" fontId="7" fillId="11" borderId="0" xfId="3" applyNumberFormat="1" applyFont="1" applyFill="1" applyAlignment="1">
      <alignment vertical="center" shrinkToFit="1"/>
    </xf>
    <xf numFmtId="0" fontId="7" fillId="11" borderId="5" xfId="3" applyNumberFormat="1" applyFont="1" applyFill="1" applyBorder="1" applyAlignment="1">
      <alignment vertical="center" shrinkToFit="1"/>
    </xf>
    <xf numFmtId="41" fontId="7" fillId="11" borderId="5" xfId="3" applyNumberFormat="1" applyFont="1" applyFill="1" applyBorder="1" applyAlignment="1">
      <alignment vertical="center" shrinkToFit="1"/>
    </xf>
    <xf numFmtId="0" fontId="6" fillId="11" borderId="4" xfId="3" applyNumberFormat="1" applyFont="1" applyFill="1" applyBorder="1" applyAlignment="1">
      <alignment vertical="center" shrinkToFit="1"/>
    </xf>
    <xf numFmtId="0" fontId="7" fillId="11" borderId="22" xfId="3" applyNumberFormat="1" applyFont="1" applyFill="1" applyBorder="1">
      <alignment vertical="center"/>
    </xf>
    <xf numFmtId="178" fontId="7" fillId="11" borderId="0" xfId="0" applyNumberFormat="1" applyFont="1" applyFill="1" applyAlignment="1">
      <alignment vertical="center" shrinkToFit="1"/>
    </xf>
    <xf numFmtId="0" fontId="5" fillId="9" borderId="32" xfId="2" applyNumberFormat="1" applyFont="1" applyFill="1" applyBorder="1" applyAlignment="1">
      <alignment horizontal="left" vertical="center"/>
    </xf>
    <xf numFmtId="177" fontId="5" fillId="9" borderId="20" xfId="2" applyNumberFormat="1" applyFont="1" applyFill="1" applyBorder="1">
      <alignment vertical="center"/>
    </xf>
    <xf numFmtId="0" fontId="6" fillId="11" borderId="4" xfId="2" applyNumberFormat="1" applyFont="1" applyFill="1" applyBorder="1">
      <alignment vertical="center"/>
    </xf>
    <xf numFmtId="0" fontId="7" fillId="11" borderId="4" xfId="2" applyNumberFormat="1" applyFont="1" applyFill="1" applyBorder="1">
      <alignment vertical="center"/>
    </xf>
    <xf numFmtId="0" fontId="7" fillId="11" borderId="4" xfId="2" applyNumberFormat="1" applyFont="1" applyFill="1" applyBorder="1" applyAlignment="1">
      <alignment vertical="center" shrinkToFit="1"/>
    </xf>
    <xf numFmtId="176" fontId="7" fillId="11" borderId="4" xfId="2" applyNumberFormat="1" applyFont="1" applyFill="1" applyBorder="1" applyAlignment="1">
      <alignment vertical="center" shrinkToFit="1"/>
    </xf>
    <xf numFmtId="176" fontId="7" fillId="11" borderId="4" xfId="2" applyNumberFormat="1" applyFont="1" applyFill="1" applyBorder="1">
      <alignment vertical="center"/>
    </xf>
    <xf numFmtId="41" fontId="7" fillId="11" borderId="4" xfId="2" applyNumberFormat="1" applyFont="1" applyFill="1" applyBorder="1" applyAlignment="1">
      <alignment vertical="center" shrinkToFit="1"/>
    </xf>
    <xf numFmtId="0" fontId="7" fillId="11" borderId="7" xfId="2" applyNumberFormat="1" applyFont="1" applyFill="1" applyBorder="1">
      <alignment vertical="center"/>
    </xf>
    <xf numFmtId="41" fontId="7" fillId="11" borderId="0" xfId="2" applyNumberFormat="1" applyFont="1" applyFill="1" applyAlignment="1">
      <alignment vertical="center" shrinkToFit="1"/>
    </xf>
    <xf numFmtId="176" fontId="7" fillId="11" borderId="0" xfId="2" applyNumberFormat="1" applyFont="1" applyFill="1" applyAlignment="1">
      <alignment horizontal="center" vertical="center"/>
    </xf>
    <xf numFmtId="180" fontId="7" fillId="11" borderId="0" xfId="2" applyNumberFormat="1" applyFont="1" applyFill="1">
      <alignment vertical="center"/>
    </xf>
    <xf numFmtId="0" fontId="7" fillId="11" borderId="0" xfId="2" applyNumberFormat="1" applyFont="1" applyFill="1" applyAlignment="1">
      <alignment vertical="center" shrinkToFit="1"/>
    </xf>
    <xf numFmtId="0" fontId="6" fillId="11" borderId="4" xfId="2" applyNumberFormat="1" applyFont="1" applyFill="1" applyBorder="1" applyAlignment="1">
      <alignment vertical="center" shrinkToFit="1"/>
    </xf>
    <xf numFmtId="176" fontId="7" fillId="11" borderId="0" xfId="2" applyNumberFormat="1" applyFont="1" applyFill="1" applyAlignment="1">
      <alignment vertical="center" shrinkToFit="1"/>
    </xf>
    <xf numFmtId="0" fontId="6" fillId="11" borderId="0" xfId="2" applyNumberFormat="1" applyFont="1" applyFill="1">
      <alignment vertical="center"/>
    </xf>
    <xf numFmtId="0" fontId="3" fillId="0" borderId="25" xfId="0" applyNumberFormat="1" applyFont="1" applyBorder="1">
      <alignment vertical="center"/>
    </xf>
    <xf numFmtId="0" fontId="5" fillId="0" borderId="6" xfId="0" applyNumberFormat="1" applyFont="1" applyBorder="1">
      <alignment vertical="center"/>
    </xf>
    <xf numFmtId="177" fontId="5" fillId="0" borderId="16" xfId="0" applyNumberFormat="1" applyFont="1" applyBorder="1">
      <alignment vertical="center"/>
    </xf>
    <xf numFmtId="0" fontId="3" fillId="0" borderId="4" xfId="0" applyNumberFormat="1" applyFont="1" applyBorder="1">
      <alignment vertical="center"/>
    </xf>
    <xf numFmtId="41" fontId="3" fillId="0" borderId="4" xfId="0" applyNumberFormat="1" applyFont="1" applyBorder="1" applyAlignment="1">
      <alignment vertical="center" shrinkToFit="1"/>
    </xf>
    <xf numFmtId="176" fontId="3" fillId="0" borderId="4" xfId="0" applyNumberFormat="1" applyFont="1" applyBorder="1" applyAlignment="1">
      <alignment vertical="center" shrinkToFit="1"/>
    </xf>
    <xf numFmtId="0" fontId="3" fillId="0" borderId="4" xfId="0" applyNumberFormat="1" applyFont="1" applyBorder="1" applyAlignment="1">
      <alignment vertical="center" shrinkToFit="1"/>
    </xf>
    <xf numFmtId="176" fontId="3" fillId="0" borderId="4" xfId="0" applyNumberFormat="1" applyFont="1" applyBorder="1">
      <alignment vertical="center"/>
    </xf>
    <xf numFmtId="178" fontId="7" fillId="0" borderId="4" xfId="0" applyNumberFormat="1" applyFont="1" applyBorder="1" applyAlignment="1">
      <alignment vertical="center" shrinkToFit="1"/>
    </xf>
    <xf numFmtId="41" fontId="5" fillId="0" borderId="5" xfId="0" applyNumberFormat="1" applyFont="1" applyBorder="1" applyAlignment="1">
      <alignment vertical="center" shrinkToFit="1"/>
    </xf>
    <xf numFmtId="176" fontId="5" fillId="0" borderId="5" xfId="0" applyNumberFormat="1" applyFont="1" applyBorder="1" applyAlignment="1">
      <alignment vertical="center" shrinkToFit="1"/>
    </xf>
    <xf numFmtId="0" fontId="5" fillId="0" borderId="5" xfId="0" applyNumberFormat="1" applyFont="1" applyBorder="1" applyAlignment="1">
      <alignment vertical="center" shrinkToFit="1"/>
    </xf>
    <xf numFmtId="176" fontId="5" fillId="0" borderId="5" xfId="0" applyNumberFormat="1" applyFont="1" applyBorder="1">
      <alignment vertical="center"/>
    </xf>
    <xf numFmtId="0" fontId="5" fillId="0" borderId="22" xfId="0" applyNumberFormat="1" applyFont="1" applyBorder="1">
      <alignment vertical="center"/>
    </xf>
    <xf numFmtId="178" fontId="10" fillId="11" borderId="12" xfId="7" applyNumberFormat="1" applyFont="1" applyFill="1" applyBorder="1" applyAlignment="1">
      <alignment horizontal="center" vertical="center" shrinkToFit="1"/>
    </xf>
    <xf numFmtId="0" fontId="7" fillId="11" borderId="0" xfId="6" applyNumberFormat="1" applyFont="1" applyFill="1" applyAlignment="1">
      <alignment vertical="center" shrinkToFit="1"/>
    </xf>
    <xf numFmtId="41" fontId="7" fillId="11" borderId="0" xfId="10" applyNumberFormat="1" applyFont="1" applyFill="1">
      <alignment vertical="center"/>
    </xf>
    <xf numFmtId="176" fontId="7" fillId="11" borderId="0" xfId="6" applyNumberFormat="1" applyFont="1" applyFill="1" applyAlignment="1">
      <alignment horizontal="center" vertical="center"/>
    </xf>
    <xf numFmtId="176" fontId="7" fillId="11" borderId="0" xfId="6" applyNumberFormat="1" applyFont="1" applyFill="1">
      <alignment vertical="center"/>
    </xf>
    <xf numFmtId="180" fontId="7" fillId="11" borderId="0" xfId="6" applyNumberFormat="1" applyFont="1" applyFill="1">
      <alignment vertical="center"/>
    </xf>
    <xf numFmtId="41" fontId="7" fillId="11" borderId="0" xfId="6" applyNumberFormat="1" applyFont="1" applyFill="1" applyAlignment="1">
      <alignment vertical="center" shrinkToFit="1"/>
    </xf>
    <xf numFmtId="0" fontId="7" fillId="11" borderId="0" xfId="6" applyNumberFormat="1" applyFont="1" applyFill="1">
      <alignment vertical="center"/>
    </xf>
    <xf numFmtId="0" fontId="7" fillId="11" borderId="0" xfId="8" applyNumberFormat="1" applyFont="1" applyFill="1">
      <alignment vertical="center"/>
    </xf>
    <xf numFmtId="0" fontId="7" fillId="11" borderId="4" xfId="6" applyNumberFormat="1" applyFont="1" applyFill="1" applyBorder="1">
      <alignment vertical="center"/>
    </xf>
    <xf numFmtId="0" fontId="7" fillId="11" borderId="4" xfId="6" applyNumberFormat="1" applyFont="1" applyFill="1" applyBorder="1" applyAlignment="1">
      <alignment vertical="center" shrinkToFit="1"/>
    </xf>
    <xf numFmtId="41" fontId="7" fillId="11" borderId="4" xfId="10" applyNumberFormat="1" applyFont="1" applyFill="1" applyBorder="1" applyAlignment="1">
      <alignment horizontal="center" vertical="center"/>
    </xf>
    <xf numFmtId="176" fontId="7" fillId="11" borderId="4" xfId="6" applyNumberFormat="1" applyFont="1" applyFill="1" applyBorder="1" applyAlignment="1">
      <alignment horizontal="center" vertical="center"/>
    </xf>
    <xf numFmtId="176" fontId="7" fillId="11" borderId="4" xfId="6" applyNumberFormat="1" applyFont="1" applyFill="1" applyBorder="1">
      <alignment vertical="center"/>
    </xf>
    <xf numFmtId="180" fontId="7" fillId="11" borderId="4" xfId="6" applyNumberFormat="1" applyFont="1" applyFill="1" applyBorder="1">
      <alignment vertical="center"/>
    </xf>
    <xf numFmtId="41" fontId="7" fillId="11" borderId="4" xfId="6" applyNumberFormat="1" applyFont="1" applyFill="1" applyBorder="1" applyAlignment="1">
      <alignment vertical="center" shrinkToFit="1"/>
    </xf>
    <xf numFmtId="178" fontId="6" fillId="11" borderId="4" xfId="10" applyNumberFormat="1" applyFont="1" applyFill="1" applyBorder="1">
      <alignment vertical="center"/>
    </xf>
    <xf numFmtId="0" fontId="7" fillId="11" borderId="0" xfId="6" applyNumberFormat="1" applyFont="1" applyFill="1" applyAlignment="1">
      <alignment horizontal="center" vertical="center"/>
    </xf>
    <xf numFmtId="41" fontId="7" fillId="11" borderId="0" xfId="10" applyNumberFormat="1" applyFont="1" applyFill="1" applyAlignment="1">
      <alignment vertical="center" shrinkToFit="1"/>
    </xf>
    <xf numFmtId="178" fontId="6" fillId="11" borderId="0" xfId="6" applyNumberFormat="1" applyFont="1" applyFill="1" applyAlignment="1">
      <alignment vertical="center" shrinkToFit="1"/>
    </xf>
    <xf numFmtId="0" fontId="7" fillId="11" borderId="0" xfId="6" applyNumberFormat="1" applyFont="1" applyFill="1" applyAlignment="1">
      <alignment horizontal="center" vertical="center"/>
    </xf>
    <xf numFmtId="41" fontId="7" fillId="11" borderId="0" xfId="10" applyNumberFormat="1" applyFont="1" applyFill="1" applyAlignment="1">
      <alignment vertical="center" shrinkToFit="1"/>
    </xf>
    <xf numFmtId="41" fontId="7" fillId="11" borderId="0" xfId="10" applyNumberFormat="1" applyFont="1" applyFill="1">
      <alignment vertical="center"/>
    </xf>
    <xf numFmtId="176" fontId="7" fillId="11" borderId="0" xfId="6" applyNumberFormat="1" applyFont="1" applyFill="1" applyAlignment="1">
      <alignment horizontal="center" vertical="center"/>
    </xf>
    <xf numFmtId="41" fontId="7" fillId="11" borderId="0" xfId="6" applyNumberFormat="1" applyFont="1" applyFill="1" applyAlignment="1">
      <alignment vertical="center" shrinkToFit="1"/>
    </xf>
    <xf numFmtId="0" fontId="6" fillId="11" borderId="51" xfId="3" applyNumberFormat="1" applyFont="1" applyFill="1" applyBorder="1">
      <alignment vertical="center"/>
    </xf>
    <xf numFmtId="0" fontId="7" fillId="11" borderId="51" xfId="3" applyNumberFormat="1" applyFont="1" applyFill="1" applyBorder="1">
      <alignment vertical="center"/>
    </xf>
    <xf numFmtId="0" fontId="7" fillId="11" borderId="51" xfId="3" applyNumberFormat="1" applyFont="1" applyFill="1" applyBorder="1" applyAlignment="1">
      <alignment vertical="center" shrinkToFit="1"/>
    </xf>
    <xf numFmtId="176" fontId="7" fillId="11" borderId="51" xfId="3" applyNumberFormat="1" applyFont="1" applyFill="1" applyBorder="1" applyAlignment="1">
      <alignment vertical="center" shrinkToFit="1"/>
    </xf>
    <xf numFmtId="176" fontId="7" fillId="11" borderId="51" xfId="3" applyNumberFormat="1" applyFont="1" applyFill="1" applyBorder="1">
      <alignment vertical="center"/>
    </xf>
    <xf numFmtId="41" fontId="7" fillId="11" borderId="51" xfId="3" applyNumberFormat="1" applyFont="1" applyFill="1" applyBorder="1" applyAlignment="1">
      <alignment vertical="center" shrinkToFit="1"/>
    </xf>
    <xf numFmtId="178" fontId="6" fillId="11" borderId="51" xfId="3" applyNumberFormat="1" applyFont="1" applyFill="1" applyBorder="1" applyAlignment="1">
      <alignment vertical="center" shrinkToFit="1"/>
    </xf>
    <xf numFmtId="176" fontId="7" fillId="11" borderId="0" xfId="6" applyNumberFormat="1" applyFont="1" applyFill="1">
      <alignment vertical="center"/>
    </xf>
    <xf numFmtId="180" fontId="7" fillId="11" borderId="0" xfId="6" applyNumberFormat="1" applyFont="1" applyFill="1">
      <alignment vertical="center"/>
    </xf>
    <xf numFmtId="178" fontId="7" fillId="11" borderId="0" xfId="6" applyNumberFormat="1" applyFont="1" applyFill="1" applyAlignment="1">
      <alignment vertical="center" shrinkToFit="1"/>
    </xf>
    <xf numFmtId="176" fontId="7" fillId="11" borderId="0" xfId="6" applyNumberFormat="1" applyFont="1" applyFill="1" applyAlignment="1">
      <alignment vertical="center" shrinkToFit="1"/>
    </xf>
    <xf numFmtId="176" fontId="7" fillId="11" borderId="0" xfId="6" applyNumberFormat="1" applyFont="1" applyFill="1">
      <alignment vertical="center"/>
    </xf>
    <xf numFmtId="176" fontId="7" fillId="11" borderId="4" xfId="0" applyNumberFormat="1" applyFont="1" applyFill="1" applyBorder="1" applyAlignment="1">
      <alignment horizontal="center" vertical="center" shrinkToFit="1"/>
    </xf>
    <xf numFmtId="176" fontId="7" fillId="11" borderId="4" xfId="0" applyNumberFormat="1" applyFont="1" applyFill="1" applyBorder="1" applyAlignment="1">
      <alignment horizontal="center" vertical="center"/>
    </xf>
    <xf numFmtId="178" fontId="7" fillId="11" borderId="0" xfId="6" applyNumberFormat="1" applyFont="1" applyFill="1" applyAlignment="1">
      <alignment vertical="center" shrinkToFit="1"/>
    </xf>
    <xf numFmtId="41" fontId="7" fillId="11" borderId="4" xfId="3" applyNumberFormat="1" applyFont="1" applyFill="1" applyBorder="1" applyAlignment="1">
      <alignment vertical="center" shrinkToFit="1"/>
    </xf>
    <xf numFmtId="178" fontId="7" fillId="11" borderId="4" xfId="7" applyNumberFormat="1" applyFont="1" applyFill="1" applyBorder="1" applyAlignment="1">
      <alignment horizontal="left" vertical="center" shrinkToFit="1"/>
    </xf>
    <xf numFmtId="178" fontId="7" fillId="11" borderId="4" xfId="7" applyNumberFormat="1" applyFont="1" applyFill="1" applyBorder="1" applyAlignment="1">
      <alignment horizontal="left" vertical="center" shrinkToFit="1"/>
    </xf>
    <xf numFmtId="176" fontId="7" fillId="11" borderId="4" xfId="7" applyNumberFormat="1" applyFont="1" applyFill="1" applyBorder="1" applyAlignment="1">
      <alignment horizontal="left" vertical="center" shrinkToFit="1"/>
    </xf>
    <xf numFmtId="41" fontId="7" fillId="11" borderId="0" xfId="11" applyNumberFormat="1" applyFont="1" applyFill="1">
      <alignment vertical="center"/>
    </xf>
    <xf numFmtId="0" fontId="5" fillId="9" borderId="14" xfId="3" applyNumberFormat="1" applyFont="1" applyFill="1" applyBorder="1">
      <alignment vertical="center"/>
    </xf>
    <xf numFmtId="0" fontId="5" fillId="9" borderId="5" xfId="3" applyNumberFormat="1" applyFont="1" applyFill="1" applyBorder="1" applyAlignment="1">
      <alignment horizontal="center" vertical="center"/>
    </xf>
    <xf numFmtId="0" fontId="5" fillId="9" borderId="4" xfId="3" applyNumberFormat="1" applyFont="1" applyFill="1" applyBorder="1" applyAlignment="1">
      <alignment horizontal="center" vertical="center"/>
    </xf>
    <xf numFmtId="177" fontId="5" fillId="9" borderId="6" xfId="3" applyNumberFormat="1" applyFont="1" applyFill="1" applyBorder="1" applyAlignment="1">
      <alignment horizontal="right" vertical="center"/>
    </xf>
    <xf numFmtId="0" fontId="6" fillId="9" borderId="6" xfId="3" applyNumberFormat="1" applyFont="1" applyFill="1" applyBorder="1" applyAlignment="1">
      <alignment horizontal="center" vertical="center"/>
    </xf>
    <xf numFmtId="0" fontId="6" fillId="9" borderId="4" xfId="3" applyNumberFormat="1" applyFont="1" applyFill="1" applyBorder="1" applyAlignment="1">
      <alignment horizontal="center" vertical="center"/>
    </xf>
    <xf numFmtId="0" fontId="6" fillId="9" borderId="4" xfId="3" applyNumberFormat="1" applyFont="1" applyFill="1" applyBorder="1" applyAlignment="1">
      <alignment horizontal="center" vertical="center" shrinkToFit="1"/>
    </xf>
    <xf numFmtId="41" fontId="6" fillId="9" borderId="4" xfId="3" applyNumberFormat="1" applyFont="1" applyFill="1" applyBorder="1" applyAlignment="1">
      <alignment horizontal="center" vertical="center" shrinkToFit="1"/>
    </xf>
    <xf numFmtId="178" fontId="6" fillId="9" borderId="4" xfId="3" applyNumberFormat="1" applyFont="1" applyFill="1" applyBorder="1" applyAlignment="1">
      <alignment horizontal="center" vertical="center" shrinkToFit="1"/>
    </xf>
    <xf numFmtId="0" fontId="6" fillId="9" borderId="7" xfId="3" applyNumberFormat="1" applyFont="1" applyFill="1" applyBorder="1" applyAlignment="1">
      <alignment horizontal="center" vertical="center"/>
    </xf>
    <xf numFmtId="0" fontId="7" fillId="11" borderId="4" xfId="0" applyNumberFormat="1" applyFont="1" applyFill="1" applyBorder="1" applyAlignment="1">
      <alignment horizontal="center" vertical="center"/>
    </xf>
    <xf numFmtId="41" fontId="7" fillId="11" borderId="4" xfId="0" applyNumberFormat="1" applyFont="1" applyFill="1" applyBorder="1" applyAlignment="1">
      <alignment horizontal="center" vertical="center"/>
    </xf>
    <xf numFmtId="41" fontId="7" fillId="11" borderId="0" xfId="0" applyNumberFormat="1" applyFont="1" applyFill="1" applyAlignment="1">
      <alignment vertical="center" shrinkToFit="1"/>
    </xf>
    <xf numFmtId="176" fontId="7" fillId="11" borderId="4" xfId="2" applyNumberFormat="1" applyFont="1" applyFill="1" applyBorder="1" applyAlignment="1">
      <alignment horizontal="center" vertical="center"/>
    </xf>
    <xf numFmtId="180" fontId="7" fillId="11" borderId="4" xfId="2" applyNumberFormat="1" applyFont="1" applyFill="1" applyBorder="1">
      <alignment vertical="center"/>
    </xf>
    <xf numFmtId="41" fontId="6" fillId="11" borderId="4" xfId="2" applyNumberFormat="1" applyFont="1" applyFill="1" applyBorder="1" applyAlignment="1">
      <alignment vertical="center" shrinkToFit="1"/>
    </xf>
    <xf numFmtId="0" fontId="7" fillId="11" borderId="4" xfId="6" applyNumberFormat="1" applyFont="1" applyFill="1" applyBorder="1">
      <alignment vertical="center"/>
    </xf>
    <xf numFmtId="0" fontId="7" fillId="11" borderId="4" xfId="6" applyNumberFormat="1" applyFont="1" applyFill="1" applyBorder="1" applyAlignment="1">
      <alignment vertical="center" shrinkToFit="1"/>
    </xf>
    <xf numFmtId="41" fontId="7" fillId="11" borderId="4" xfId="10" applyNumberFormat="1" applyFont="1" applyFill="1" applyBorder="1" applyAlignment="1">
      <alignment horizontal="center" vertical="center"/>
    </xf>
    <xf numFmtId="176" fontId="7" fillId="11" borderId="4" xfId="6" applyNumberFormat="1" applyFont="1" applyFill="1" applyBorder="1" applyAlignment="1">
      <alignment horizontal="center" vertical="center"/>
    </xf>
    <xf numFmtId="176" fontId="7" fillId="11" borderId="4" xfId="6" applyNumberFormat="1" applyFont="1" applyFill="1" applyBorder="1">
      <alignment vertical="center"/>
    </xf>
    <xf numFmtId="180" fontId="7" fillId="11" borderId="4" xfId="6" applyNumberFormat="1" applyFont="1" applyFill="1" applyBorder="1">
      <alignment vertical="center"/>
    </xf>
    <xf numFmtId="41" fontId="7" fillId="11" borderId="4" xfId="6" applyNumberFormat="1" applyFont="1" applyFill="1" applyBorder="1" applyAlignment="1">
      <alignment vertical="center" shrinkToFit="1"/>
    </xf>
    <xf numFmtId="178" fontId="6" fillId="11" borderId="4" xfId="10" applyNumberFormat="1" applyFont="1" applyFill="1" applyBorder="1">
      <alignment vertical="center"/>
    </xf>
    <xf numFmtId="0" fontId="6" fillId="11" borderId="0" xfId="3" applyNumberFormat="1" applyFont="1" applyFill="1" applyAlignment="1">
      <alignment vertical="center" shrinkToFit="1"/>
    </xf>
    <xf numFmtId="176" fontId="7" fillId="11" borderId="0" xfId="3" applyNumberFormat="1" applyFont="1" applyFill="1" applyAlignment="1">
      <alignment vertical="center" shrinkToFit="1"/>
    </xf>
    <xf numFmtId="178" fontId="30" fillId="11" borderId="0" xfId="6" applyNumberFormat="1" applyFont="1" applyFill="1" applyAlignment="1">
      <alignment vertical="center" shrinkToFit="1"/>
    </xf>
    <xf numFmtId="0" fontId="6" fillId="11" borderId="0" xfId="6" applyNumberFormat="1" applyFont="1" applyFill="1">
      <alignment vertical="center"/>
    </xf>
    <xf numFmtId="3" fontId="7" fillId="11" borderId="0" xfId="0" applyNumberFormat="1" applyFont="1" applyFill="1" applyAlignment="1">
      <alignment vertical="center" shrinkToFit="1"/>
    </xf>
    <xf numFmtId="181" fontId="7" fillId="11" borderId="0" xfId="0" applyNumberFormat="1" applyFont="1" applyFill="1" applyAlignment="1">
      <alignment horizontal="right" vertical="center"/>
    </xf>
    <xf numFmtId="0" fontId="6" fillId="11" borderId="4" xfId="0" applyNumberFormat="1" applyFont="1" applyFill="1" applyBorder="1" applyAlignment="1">
      <alignment horizontal="center" vertical="center"/>
    </xf>
    <xf numFmtId="41" fontId="6" fillId="11" borderId="4" xfId="0" applyNumberFormat="1" applyFont="1" applyFill="1" applyBorder="1" applyAlignment="1">
      <alignment horizontal="center" vertical="center"/>
    </xf>
    <xf numFmtId="176" fontId="6" fillId="11" borderId="4" xfId="0" applyNumberFormat="1" applyFont="1" applyFill="1" applyBorder="1" applyAlignment="1">
      <alignment horizontal="center" vertical="center"/>
    </xf>
    <xf numFmtId="41" fontId="6" fillId="11" borderId="0" xfId="1" applyNumberFormat="1" applyFont="1" applyFill="1">
      <alignment vertical="center"/>
    </xf>
    <xf numFmtId="41" fontId="6" fillId="11" borderId="0" xfId="6" applyNumberFormat="1" applyFont="1" applyFill="1" applyAlignment="1">
      <alignment vertical="center" shrinkToFit="1"/>
    </xf>
    <xf numFmtId="0" fontId="7" fillId="11" borderId="19" xfId="6" applyNumberFormat="1" applyFont="1" applyFill="1" applyBorder="1">
      <alignment vertical="center"/>
    </xf>
    <xf numFmtId="3" fontId="7" fillId="11" borderId="0" xfId="0" applyNumberFormat="1" applyFont="1" applyFill="1" applyAlignment="1">
      <alignment horizontal="center" vertical="center"/>
    </xf>
    <xf numFmtId="41" fontId="7" fillId="11" borderId="5" xfId="10" applyNumberFormat="1" applyFont="1" applyFill="1" applyBorder="1">
      <alignment vertical="center"/>
    </xf>
    <xf numFmtId="176" fontId="7" fillId="11" borderId="5" xfId="6" applyNumberFormat="1" applyFont="1" applyFill="1" applyBorder="1" applyAlignment="1">
      <alignment horizontal="center" vertical="center"/>
    </xf>
    <xf numFmtId="176" fontId="7" fillId="11" borderId="5" xfId="6" applyNumberFormat="1" applyFont="1" applyFill="1" applyBorder="1">
      <alignment vertical="center"/>
    </xf>
    <xf numFmtId="180" fontId="7" fillId="11" borderId="5" xfId="6" applyNumberFormat="1" applyFont="1" applyFill="1" applyBorder="1">
      <alignment vertical="center"/>
    </xf>
    <xf numFmtId="41" fontId="7" fillId="11" borderId="5" xfId="6" applyNumberFormat="1" applyFont="1" applyFill="1" applyBorder="1" applyAlignment="1">
      <alignment vertical="center" shrinkToFit="1"/>
    </xf>
    <xf numFmtId="176" fontId="7" fillId="11" borderId="0" xfId="2" applyNumberFormat="1" applyFont="1" applyFill="1">
      <alignment vertical="center"/>
    </xf>
    <xf numFmtId="41" fontId="6" fillId="11" borderId="0" xfId="2" applyNumberFormat="1" applyFont="1" applyFill="1" applyAlignment="1">
      <alignment vertical="center" shrinkToFit="1"/>
    </xf>
    <xf numFmtId="0" fontId="5" fillId="9" borderId="14" xfId="0" applyNumberFormat="1" applyFont="1" applyFill="1" applyBorder="1">
      <alignment vertical="center"/>
    </xf>
    <xf numFmtId="0" fontId="5" fillId="9" borderId="5" xfId="0" applyNumberFormat="1" applyFont="1" applyFill="1" applyBorder="1" applyAlignment="1">
      <alignment horizontal="center" vertical="center"/>
    </xf>
    <xf numFmtId="177" fontId="5" fillId="9" borderId="12" xfId="0" applyNumberFormat="1" applyFont="1" applyFill="1" applyBorder="1">
      <alignment vertical="center"/>
    </xf>
    <xf numFmtId="0" fontId="5" fillId="9" borderId="20" xfId="0" applyNumberFormat="1" applyFont="1" applyFill="1" applyBorder="1" applyAlignment="1">
      <alignment horizontal="center" vertical="center"/>
    </xf>
    <xf numFmtId="41" fontId="5" fillId="9" borderId="5" xfId="0" applyNumberFormat="1" applyFont="1" applyFill="1" applyBorder="1" applyAlignment="1">
      <alignment horizontal="center" vertical="center" shrinkToFit="1"/>
    </xf>
    <xf numFmtId="0" fontId="5" fillId="9" borderId="5" xfId="0" applyNumberFormat="1" applyFont="1" applyFill="1" applyBorder="1" applyAlignment="1">
      <alignment horizontal="center" vertical="center" shrinkToFit="1"/>
    </xf>
    <xf numFmtId="178" fontId="6" fillId="9" borderId="5" xfId="0" applyNumberFormat="1" applyFont="1" applyFill="1" applyBorder="1" applyAlignment="1">
      <alignment horizontal="center" vertical="center" shrinkToFit="1"/>
    </xf>
    <xf numFmtId="0" fontId="5" fillId="9" borderId="22" xfId="0" applyNumberFormat="1" applyFont="1" applyFill="1" applyBorder="1" applyAlignment="1">
      <alignment horizontal="center" vertical="center"/>
    </xf>
    <xf numFmtId="9" fontId="7" fillId="11" borderId="0" xfId="6" applyNumberFormat="1" applyFont="1" applyFill="1">
      <alignment vertical="center"/>
    </xf>
    <xf numFmtId="179" fontId="5" fillId="3" borderId="36" xfId="0" applyNumberFormat="1" applyFont="1" applyFill="1" applyBorder="1" applyAlignment="1">
      <alignment vertical="center" shrinkToFit="1"/>
    </xf>
    <xf numFmtId="0" fontId="5" fillId="2" borderId="41" xfId="0" applyNumberFormat="1" applyFont="1" applyFill="1" applyBorder="1" applyAlignment="1">
      <alignment horizontal="center" vertical="center"/>
    </xf>
    <xf numFmtId="0" fontId="5" fillId="2" borderId="12" xfId="0" applyNumberFormat="1" applyFont="1" applyFill="1" applyBorder="1" applyAlignment="1">
      <alignment horizontal="center" vertical="center"/>
    </xf>
    <xf numFmtId="185" fontId="5" fillId="2" borderId="12" xfId="0" applyNumberFormat="1" applyFont="1" applyFill="1" applyBorder="1" applyAlignment="1">
      <alignment horizontal="center" vertical="center"/>
    </xf>
    <xf numFmtId="41" fontId="5" fillId="2" borderId="12" xfId="0" applyNumberFormat="1" applyFont="1" applyFill="1" applyBorder="1" applyAlignment="1">
      <alignment horizontal="center" vertical="center"/>
    </xf>
    <xf numFmtId="0" fontId="5" fillId="2" borderId="42" xfId="0" applyNumberFormat="1" applyFont="1" applyFill="1" applyBorder="1" applyAlignment="1">
      <alignment horizontal="center" vertical="center"/>
    </xf>
    <xf numFmtId="0" fontId="5" fillId="0" borderId="14" xfId="0" applyNumberFormat="1" applyFont="1" applyBorder="1" applyAlignment="1">
      <alignment horizontal="center" vertical="center"/>
    </xf>
    <xf numFmtId="41" fontId="4" fillId="0" borderId="12" xfId="0" applyNumberFormat="1" applyFont="1" applyBorder="1" applyAlignment="1">
      <alignment horizontal="center" vertical="center"/>
    </xf>
    <xf numFmtId="177" fontId="4" fillId="0" borderId="12" xfId="0" applyNumberFormat="1" applyFont="1" applyBorder="1" applyAlignment="1">
      <alignment horizontal="right" vertical="center"/>
    </xf>
    <xf numFmtId="0" fontId="3" fillId="11" borderId="14" xfId="0" applyNumberFormat="1" applyFont="1" applyFill="1" applyBorder="1" applyAlignment="1">
      <alignment horizontal="distributed" vertical="center" wrapText="1"/>
    </xf>
    <xf numFmtId="41" fontId="2" fillId="11" borderId="12" xfId="0" applyNumberFormat="1" applyFont="1" applyFill="1" applyBorder="1" applyAlignment="1">
      <alignment horizontal="center" vertical="center"/>
    </xf>
    <xf numFmtId="177" fontId="2" fillId="11" borderId="12" xfId="0" applyNumberFormat="1" applyFont="1" applyFill="1" applyBorder="1">
      <alignment vertical="center"/>
    </xf>
    <xf numFmtId="178" fontId="2" fillId="11" borderId="12" xfId="0" applyNumberFormat="1" applyFont="1" applyFill="1" applyBorder="1" applyAlignment="1">
      <alignment horizontal="right" vertical="center"/>
    </xf>
    <xf numFmtId="177" fontId="2" fillId="11" borderId="12" xfId="0" applyNumberFormat="1" applyFont="1" applyFill="1" applyBorder="1" applyAlignment="1">
      <alignment horizontal="right" vertical="center"/>
    </xf>
    <xf numFmtId="41" fontId="2" fillId="11" borderId="12" xfId="0" applyNumberFormat="1" applyFont="1" applyFill="1" applyBorder="1" applyAlignment="1">
      <alignment horizontal="right" vertical="center"/>
    </xf>
    <xf numFmtId="177" fontId="2" fillId="11" borderId="42" xfId="0" applyNumberFormat="1" applyFont="1" applyFill="1" applyBorder="1" applyAlignment="1">
      <alignment horizontal="center" vertical="center"/>
    </xf>
    <xf numFmtId="0" fontId="3" fillId="11" borderId="52" xfId="0" applyNumberFormat="1" applyFont="1" applyFill="1" applyBorder="1" applyAlignment="1">
      <alignment horizontal="distributed" vertical="center" wrapText="1"/>
    </xf>
    <xf numFmtId="41" fontId="2" fillId="11" borderId="43" xfId="0" applyNumberFormat="1" applyFont="1" applyFill="1" applyBorder="1" applyAlignment="1">
      <alignment horizontal="center" vertical="center"/>
    </xf>
    <xf numFmtId="177" fontId="2" fillId="11" borderId="43" xfId="0" applyNumberFormat="1" applyFont="1" applyFill="1" applyBorder="1">
      <alignment vertical="center"/>
    </xf>
    <xf numFmtId="41" fontId="2" fillId="11" borderId="43" xfId="0" applyNumberFormat="1" applyFont="1" applyFill="1" applyBorder="1" applyAlignment="1">
      <alignment horizontal="right" vertical="center"/>
    </xf>
    <xf numFmtId="177" fontId="2" fillId="11" borderId="43" xfId="0" applyNumberFormat="1" applyFont="1" applyFill="1" applyBorder="1" applyAlignment="1">
      <alignment horizontal="right" vertical="center"/>
    </xf>
    <xf numFmtId="178" fontId="2" fillId="11" borderId="43" xfId="0" applyNumberFormat="1" applyFont="1" applyFill="1" applyBorder="1" applyAlignment="1">
      <alignment horizontal="right" vertical="center"/>
    </xf>
    <xf numFmtId="177" fontId="2" fillId="11" borderId="44" xfId="0" applyNumberFormat="1" applyFont="1" applyFill="1" applyBorder="1" applyAlignment="1">
      <alignment horizontal="center" vertical="center"/>
    </xf>
    <xf numFmtId="41" fontId="4" fillId="0" borderId="42" xfId="0" applyNumberFormat="1" applyFont="1" applyBorder="1" applyAlignment="1">
      <alignment horizontal="center" vertical="center"/>
    </xf>
    <xf numFmtId="179" fontId="10" fillId="11" borderId="12" xfId="14" applyNumberFormat="1" applyFont="1" applyFill="1" applyBorder="1" applyAlignment="1">
      <alignment horizontal="right" vertical="center" wrapText="1"/>
    </xf>
    <xf numFmtId="177" fontId="10" fillId="0" borderId="12" xfId="0" applyNumberFormat="1" applyFont="1" applyBorder="1" applyAlignment="1">
      <alignment horizontal="right" vertical="center" wrapText="1"/>
    </xf>
    <xf numFmtId="0" fontId="31" fillId="0" borderId="0" xfId="0" applyNumberFormat="1" applyFont="1" applyAlignment="1">
      <alignment horizontal="center" vertical="center"/>
    </xf>
    <xf numFmtId="0" fontId="26" fillId="0" borderId="0" xfId="0" applyNumberFormat="1" applyFont="1">
      <alignment vertical="center"/>
    </xf>
    <xf numFmtId="0" fontId="26" fillId="0" borderId="0" xfId="0" applyNumberFormat="1" applyFont="1" applyAlignment="1">
      <alignment horizontal="left" vertical="center"/>
    </xf>
    <xf numFmtId="0" fontId="1" fillId="0" borderId="0" xfId="5" applyNumberFormat="1" applyFont="1">
      <alignment vertical="center"/>
    </xf>
    <xf numFmtId="0" fontId="32" fillId="0" borderId="0" xfId="5" applyNumberFormat="1" applyFont="1" applyAlignment="1">
      <alignment horizontal="left" vertical="center"/>
    </xf>
    <xf numFmtId="0" fontId="2" fillId="0" borderId="0" xfId="5" applyNumberFormat="1" applyFont="1" applyAlignment="1">
      <alignment horizontal="right" vertical="center"/>
    </xf>
    <xf numFmtId="0" fontId="4" fillId="2" borderId="53" xfId="5" applyNumberFormat="1" applyFont="1" applyFill="1" applyBorder="1" applyAlignment="1">
      <alignment horizontal="center" vertical="center" wrapText="1"/>
    </xf>
    <xf numFmtId="0" fontId="4" fillId="2" borderId="54" xfId="5" applyNumberFormat="1" applyFont="1" applyFill="1" applyBorder="1" applyAlignment="1">
      <alignment horizontal="center" vertical="center" wrapText="1"/>
    </xf>
    <xf numFmtId="0" fontId="4" fillId="2" borderId="54" xfId="5" applyNumberFormat="1" applyFont="1" applyFill="1" applyBorder="1" applyAlignment="1">
      <alignment horizontal="center" vertical="center" shrinkToFit="1"/>
    </xf>
    <xf numFmtId="0" fontId="4" fillId="2" borderId="55" xfId="5" applyNumberFormat="1" applyFont="1" applyFill="1" applyBorder="1" applyAlignment="1">
      <alignment horizontal="center" vertical="center" wrapText="1"/>
    </xf>
    <xf numFmtId="0" fontId="3" fillId="0" borderId="0" xfId="5" applyNumberFormat="1" applyFont="1">
      <alignment vertical="center"/>
    </xf>
    <xf numFmtId="0" fontId="4" fillId="2" borderId="54" xfId="5" applyNumberFormat="1" applyFont="1" applyFill="1" applyBorder="1" applyAlignment="1">
      <alignment horizontal="center" vertical="center" wrapText="1"/>
    </xf>
    <xf numFmtId="0" fontId="4" fillId="2" borderId="54" xfId="5" applyNumberFormat="1" applyFont="1" applyFill="1" applyBorder="1" applyAlignment="1">
      <alignment horizontal="center" vertical="center" shrinkToFit="1"/>
    </xf>
    <xf numFmtId="0" fontId="4" fillId="2" borderId="55" xfId="5" applyNumberFormat="1" applyFont="1" applyFill="1" applyBorder="1" applyAlignment="1">
      <alignment horizontal="center" vertical="center" wrapText="1"/>
    </xf>
    <xf numFmtId="177" fontId="4" fillId="0" borderId="56" xfId="5" applyNumberFormat="1" applyFont="1" applyBorder="1" applyAlignment="1">
      <alignment horizontal="right" vertical="center" wrapText="1"/>
    </xf>
    <xf numFmtId="177" fontId="4" fillId="0" borderId="57" xfId="5" applyNumberFormat="1" applyFont="1" applyBorder="1" applyAlignment="1">
      <alignment horizontal="right" vertical="center" wrapText="1"/>
    </xf>
    <xf numFmtId="177" fontId="4" fillId="0" borderId="58" xfId="5" applyNumberFormat="1" applyFont="1" applyBorder="1" applyAlignment="1">
      <alignment horizontal="right" vertical="center" wrapText="1"/>
    </xf>
    <xf numFmtId="177" fontId="4" fillId="0" borderId="59" xfId="5" applyNumberFormat="1" applyFont="1" applyBorder="1" applyAlignment="1">
      <alignment horizontal="right" vertical="center" wrapText="1"/>
    </xf>
    <xf numFmtId="0" fontId="4" fillId="0" borderId="60" xfId="5" applyNumberFormat="1" applyFont="1" applyBorder="1" applyAlignment="1">
      <alignment horizontal="distributed" vertical="center" wrapText="1" shrinkToFit="1"/>
    </xf>
    <xf numFmtId="177" fontId="4" fillId="0" borderId="58" xfId="5" applyNumberFormat="1" applyFont="1" applyBorder="1">
      <alignment vertical="center"/>
    </xf>
    <xf numFmtId="177" fontId="4" fillId="0" borderId="61" xfId="5" applyNumberFormat="1" applyFont="1" applyBorder="1">
      <alignment vertical="center"/>
    </xf>
    <xf numFmtId="0" fontId="4" fillId="0" borderId="62" xfId="5" applyNumberFormat="1" applyFont="1" applyBorder="1" applyAlignment="1">
      <alignment horizontal="center" vertical="center" wrapText="1"/>
    </xf>
    <xf numFmtId="177" fontId="4" fillId="0" borderId="63" xfId="5" applyNumberFormat="1" applyFont="1" applyBorder="1" applyAlignment="1">
      <alignment horizontal="right" vertical="center"/>
    </xf>
    <xf numFmtId="0" fontId="2" fillId="0" borderId="64" xfId="5" applyNumberFormat="1" applyFont="1" applyBorder="1" applyAlignment="1">
      <alignment horizontal="distributed" vertical="center" wrapText="1" shrinkToFit="1"/>
    </xf>
    <xf numFmtId="177" fontId="2" fillId="0" borderId="59" xfId="5" applyNumberFormat="1" applyFont="1" applyBorder="1">
      <alignment vertical="center"/>
    </xf>
    <xf numFmtId="177" fontId="2" fillId="0" borderId="65" xfId="5" applyNumberFormat="1" applyFont="1" applyBorder="1">
      <alignment vertical="center"/>
    </xf>
    <xf numFmtId="49" fontId="2" fillId="0" borderId="17" xfId="5" applyNumberFormat="1" applyFont="1" applyBorder="1" applyAlignment="1">
      <alignment horizontal="distributed" vertical="center" wrapText="1"/>
    </xf>
    <xf numFmtId="177" fontId="2" fillId="0" borderId="16" xfId="5" applyNumberFormat="1" applyFont="1" applyBorder="1" applyAlignment="1">
      <alignment horizontal="right" vertical="center"/>
    </xf>
    <xf numFmtId="177" fontId="2" fillId="0" borderId="0" xfId="5" applyNumberFormat="1" applyFont="1" applyAlignment="1">
      <alignment horizontal="right" vertical="center"/>
    </xf>
    <xf numFmtId="177" fontId="2" fillId="0" borderId="65" xfId="5" applyNumberFormat="1" applyFont="1" applyBorder="1" applyAlignment="1">
      <alignment horizontal="right" vertical="center" wrapText="1"/>
    </xf>
    <xf numFmtId="0" fontId="2" fillId="0" borderId="66" xfId="5" applyNumberFormat="1" applyFont="1" applyBorder="1" applyAlignment="1">
      <alignment horizontal="distributed" vertical="center" wrapText="1" shrinkToFit="1"/>
    </xf>
    <xf numFmtId="177" fontId="2" fillId="0" borderId="67" xfId="5" applyNumberFormat="1" applyFont="1" applyBorder="1">
      <alignment vertical="center"/>
    </xf>
    <xf numFmtId="177" fontId="2" fillId="0" borderId="68" xfId="5" applyNumberFormat="1" applyFont="1" applyBorder="1">
      <alignment vertical="center"/>
    </xf>
    <xf numFmtId="0" fontId="2" fillId="0" borderId="17" xfId="5" applyNumberFormat="1" applyFont="1" applyBorder="1" applyAlignment="1">
      <alignment horizontal="distributed" vertical="center" wrapText="1"/>
    </xf>
    <xf numFmtId="177" fontId="2" fillId="0" borderId="10" xfId="5" applyNumberFormat="1" applyFont="1" applyBorder="1">
      <alignment vertical="center"/>
    </xf>
    <xf numFmtId="177" fontId="2" fillId="0" borderId="0" xfId="5" applyNumberFormat="1" applyFont="1">
      <alignment vertical="center"/>
    </xf>
    <xf numFmtId="177" fontId="2" fillId="0" borderId="68" xfId="5" applyNumberFormat="1" applyFont="1" applyBorder="1" applyAlignment="1">
      <alignment horizontal="right" vertical="center" wrapText="1"/>
    </xf>
    <xf numFmtId="177" fontId="1" fillId="0" borderId="0" xfId="5" applyNumberFormat="1" applyFont="1">
      <alignment vertical="center"/>
    </xf>
    <xf numFmtId="0" fontId="4" fillId="0" borderId="56" xfId="5" applyNumberFormat="1" applyFont="1" applyBorder="1" applyAlignment="1">
      <alignment horizontal="distributed" vertical="center" wrapText="1" shrinkToFit="1"/>
    </xf>
    <xf numFmtId="177" fontId="4" fillId="0" borderId="58" xfId="5" applyNumberFormat="1" applyFont="1" applyBorder="1">
      <alignment vertical="center"/>
    </xf>
    <xf numFmtId="177" fontId="2" fillId="0" borderId="10" xfId="5" applyNumberFormat="1" applyFont="1" applyBorder="1" applyAlignment="1">
      <alignment horizontal="right" vertical="center"/>
    </xf>
    <xf numFmtId="0" fontId="4" fillId="0" borderId="69" xfId="5" applyNumberFormat="1" applyFont="1" applyBorder="1" applyAlignment="1">
      <alignment horizontal="distributed" vertical="center" wrapText="1" shrinkToFit="1"/>
    </xf>
    <xf numFmtId="177" fontId="4" fillId="0" borderId="70" xfId="5" applyNumberFormat="1" applyFont="1" applyBorder="1">
      <alignment vertical="center"/>
    </xf>
    <xf numFmtId="177" fontId="4" fillId="0" borderId="69" xfId="5" applyNumberFormat="1" applyFont="1" applyBorder="1">
      <alignment vertical="center"/>
    </xf>
    <xf numFmtId="177" fontId="4" fillId="0" borderId="71" xfId="5" applyNumberFormat="1" applyFont="1" applyBorder="1">
      <alignment vertical="center"/>
    </xf>
    <xf numFmtId="177" fontId="4" fillId="0" borderId="72" xfId="5" applyNumberFormat="1" applyFont="1" applyBorder="1">
      <alignment vertical="center"/>
    </xf>
    <xf numFmtId="177" fontId="4" fillId="0" borderId="73" xfId="5" applyNumberFormat="1" applyFont="1" applyBorder="1">
      <alignment vertical="center"/>
    </xf>
    <xf numFmtId="177" fontId="2" fillId="0" borderId="70" xfId="5" applyNumberFormat="1" applyFont="1" applyBorder="1">
      <alignment vertical="center"/>
    </xf>
    <xf numFmtId="177" fontId="2" fillId="0" borderId="4" xfId="5" applyNumberFormat="1" applyFont="1" applyBorder="1">
      <alignment vertical="center"/>
    </xf>
    <xf numFmtId="177" fontId="2" fillId="0" borderId="66" xfId="5" applyNumberFormat="1" applyFont="1" applyBorder="1">
      <alignment vertical="center"/>
    </xf>
    <xf numFmtId="177" fontId="2" fillId="0" borderId="74" xfId="5" applyNumberFormat="1" applyFont="1" applyBorder="1">
      <alignment vertical="center"/>
    </xf>
    <xf numFmtId="177" fontId="2" fillId="0" borderId="18" xfId="5" applyNumberFormat="1" applyFont="1" applyBorder="1">
      <alignment vertical="center"/>
    </xf>
    <xf numFmtId="177" fontId="2" fillId="0" borderId="10" xfId="5" applyNumberFormat="1" applyFont="1" applyBorder="1">
      <alignment vertical="center"/>
    </xf>
    <xf numFmtId="177" fontId="2" fillId="0" borderId="64" xfId="5" applyNumberFormat="1" applyFont="1" applyBorder="1">
      <alignment vertical="center"/>
    </xf>
    <xf numFmtId="177" fontId="2" fillId="0" borderId="75" xfId="5" applyNumberFormat="1" applyFont="1" applyBorder="1">
      <alignment vertical="center"/>
    </xf>
    <xf numFmtId="177" fontId="4" fillId="0" borderId="71" xfId="5" applyNumberFormat="1" applyFont="1" applyBorder="1">
      <alignment vertical="center"/>
    </xf>
    <xf numFmtId="187" fontId="1" fillId="0" borderId="0" xfId="5" applyNumberFormat="1" applyFont="1">
      <alignment vertical="center"/>
    </xf>
    <xf numFmtId="0" fontId="2" fillId="0" borderId="64" xfId="5" applyNumberFormat="1" applyFont="1" applyBorder="1" applyAlignment="1">
      <alignment horizontal="distributed" vertical="center" wrapText="1" shrinkToFit="1"/>
    </xf>
    <xf numFmtId="0" fontId="2" fillId="0" borderId="66" xfId="5" applyNumberFormat="1" applyFont="1" applyBorder="1" applyAlignment="1">
      <alignment horizontal="distributed" vertical="center" wrapText="1" shrinkToFit="1"/>
    </xf>
    <xf numFmtId="49" fontId="2" fillId="0" borderId="20" xfId="5" applyNumberFormat="1" applyFont="1" applyBorder="1" applyAlignment="1">
      <alignment horizontal="left" vertical="center" shrinkToFit="1"/>
    </xf>
    <xf numFmtId="0" fontId="2" fillId="0" borderId="12" xfId="5" applyNumberFormat="1" applyFont="1" applyBorder="1" applyAlignment="1">
      <alignment horizontal="distributed" vertical="center" wrapText="1" shrinkToFit="1"/>
    </xf>
    <xf numFmtId="177" fontId="4" fillId="0" borderId="12" xfId="5" applyNumberFormat="1" applyFont="1" applyBorder="1">
      <alignment vertical="center"/>
    </xf>
    <xf numFmtId="177" fontId="4" fillId="0" borderId="42" xfId="5" applyNumberFormat="1" applyFont="1" applyBorder="1">
      <alignment vertical="center"/>
    </xf>
    <xf numFmtId="49" fontId="2" fillId="0" borderId="12" xfId="5" applyNumberFormat="1" applyFont="1" applyBorder="1" applyAlignment="1">
      <alignment horizontal="left" vertical="center" shrinkToFit="1"/>
    </xf>
    <xf numFmtId="41" fontId="1" fillId="0" borderId="0" xfId="5" applyNumberFormat="1" applyFont="1">
      <alignment vertical="center"/>
    </xf>
    <xf numFmtId="0" fontId="2" fillId="0" borderId="56" xfId="5" applyNumberFormat="1" applyFont="1" applyBorder="1" applyAlignment="1">
      <alignment horizontal="distributed" vertical="center" wrapText="1" shrinkToFit="1"/>
    </xf>
    <xf numFmtId="177" fontId="2" fillId="0" borderId="58" xfId="5" applyNumberFormat="1" applyFont="1" applyBorder="1">
      <alignment vertical="center"/>
    </xf>
    <xf numFmtId="177" fontId="2" fillId="0" borderId="61" xfId="5" applyNumberFormat="1" applyFont="1" applyBorder="1">
      <alignment vertical="center"/>
    </xf>
    <xf numFmtId="0" fontId="2" fillId="0" borderId="10" xfId="5" applyNumberFormat="1" applyFont="1" applyBorder="1" applyAlignment="1">
      <alignment horizontal="distributed" vertical="center" wrapText="1"/>
    </xf>
    <xf numFmtId="177" fontId="2" fillId="0" borderId="10" xfId="5" applyNumberFormat="1" applyFont="1" applyBorder="1" applyAlignment="1">
      <alignment horizontal="right" vertical="center"/>
    </xf>
    <xf numFmtId="177" fontId="4" fillId="0" borderId="0" xfId="5" applyNumberFormat="1" applyFont="1" applyAlignment="1">
      <alignment horizontal="right" vertical="center"/>
    </xf>
    <xf numFmtId="177" fontId="2" fillId="0" borderId="0" xfId="5" applyNumberFormat="1" applyFont="1" applyBorder="1" applyAlignment="1">
      <alignment horizontal="right" vertical="center"/>
    </xf>
    <xf numFmtId="0" fontId="2" fillId="0" borderId="0" xfId="5" applyNumberFormat="1" applyFont="1" applyAlignment="1">
      <alignment horizontal="center" vertical="center"/>
    </xf>
    <xf numFmtId="0" fontId="4" fillId="0" borderId="14" xfId="5" applyNumberFormat="1" applyFont="1" applyBorder="1" applyAlignment="1">
      <alignment horizontal="center" vertical="center" wrapText="1"/>
    </xf>
    <xf numFmtId="0" fontId="2" fillId="0" borderId="12" xfId="5" applyNumberFormat="1" applyFont="1" applyBorder="1" applyAlignment="1">
      <alignment horizontal="distributed" vertical="center" wrapText="1"/>
    </xf>
    <xf numFmtId="177" fontId="4" fillId="0" borderId="12" xfId="5" applyNumberFormat="1" applyFont="1" applyBorder="1" applyAlignment="1">
      <alignment horizontal="right" vertical="center"/>
    </xf>
    <xf numFmtId="177" fontId="4" fillId="0" borderId="5" xfId="5" applyNumberFormat="1" applyFont="1" applyBorder="1" applyAlignment="1">
      <alignment horizontal="right" vertical="center"/>
    </xf>
    <xf numFmtId="177" fontId="4" fillId="0" borderId="76" xfId="5" applyNumberFormat="1" applyFont="1" applyBorder="1" applyAlignment="1">
      <alignment horizontal="right" vertical="center" wrapText="1"/>
    </xf>
    <xf numFmtId="41" fontId="2" fillId="0" borderId="0" xfId="5" applyNumberFormat="1" applyFont="1" applyAlignment="1">
      <alignment horizontal="center" vertical="center"/>
    </xf>
    <xf numFmtId="0" fontId="4" fillId="0" borderId="10" xfId="5" applyNumberFormat="1" applyFont="1" applyBorder="1" applyAlignment="1">
      <alignment horizontal="distributed" vertical="center" wrapText="1"/>
    </xf>
    <xf numFmtId="177" fontId="4" fillId="0" borderId="0" xfId="5" applyNumberFormat="1" applyFont="1" applyAlignment="1">
      <alignment horizontal="right" vertical="center"/>
    </xf>
    <xf numFmtId="0" fontId="2" fillId="0" borderId="16" xfId="5" applyNumberFormat="1" applyFont="1" applyBorder="1" applyAlignment="1">
      <alignment horizontal="distributed" vertical="center" wrapText="1"/>
    </xf>
    <xf numFmtId="177" fontId="2" fillId="0" borderId="4" xfId="5" applyNumberFormat="1" applyFont="1" applyBorder="1" applyAlignment="1">
      <alignment horizontal="right" vertical="center"/>
    </xf>
    <xf numFmtId="0" fontId="2" fillId="0" borderId="77" xfId="5" applyNumberFormat="1" applyFont="1" applyBorder="1" applyAlignment="1">
      <alignment horizontal="distributed" vertical="center" wrapText="1" shrinkToFit="1"/>
    </xf>
    <xf numFmtId="177" fontId="2" fillId="0" borderId="3" xfId="5" applyNumberFormat="1" applyFont="1" applyBorder="1" applyAlignment="1">
      <alignment horizontal="right" vertical="center"/>
    </xf>
    <xf numFmtId="177" fontId="2" fillId="0" borderId="43" xfId="5" applyNumberFormat="1" applyFont="1" applyBorder="1" applyAlignment="1">
      <alignment horizontal="right" vertical="center"/>
    </xf>
    <xf numFmtId="177" fontId="2" fillId="0" borderId="78" xfId="5" applyNumberFormat="1" applyFont="1" applyBorder="1" applyAlignment="1">
      <alignment horizontal="right" vertical="center"/>
    </xf>
    <xf numFmtId="0" fontId="2" fillId="0" borderId="10" xfId="5" applyNumberFormat="1" applyFont="1" applyBorder="1" applyAlignment="1">
      <alignment horizontal="distributed" vertical="center" wrapText="1"/>
    </xf>
    <xf numFmtId="0" fontId="4" fillId="0" borderId="0" xfId="5" applyNumberFormat="1" applyFont="1" applyAlignment="1">
      <alignment horizontal="distributed" vertical="center" wrapText="1" shrinkToFit="1"/>
    </xf>
    <xf numFmtId="177" fontId="4" fillId="0" borderId="0" xfId="5" applyNumberFormat="1" applyFont="1">
      <alignment vertical="center"/>
    </xf>
    <xf numFmtId="0" fontId="2" fillId="0" borderId="0" xfId="5" applyNumberFormat="1" applyFont="1" applyAlignment="1">
      <alignment horizontal="left" vertical="center"/>
    </xf>
    <xf numFmtId="0" fontId="2" fillId="0" borderId="15" xfId="5" applyNumberFormat="1" applyFont="1" applyBorder="1" applyAlignment="1">
      <alignment horizontal="distributed" vertical="center" wrapText="1"/>
    </xf>
    <xf numFmtId="177" fontId="2" fillId="0" borderId="8" xfId="5" applyNumberFormat="1" applyFont="1" applyBorder="1">
      <alignment vertical="center"/>
    </xf>
    <xf numFmtId="177" fontId="2" fillId="0" borderId="15" xfId="5" applyNumberFormat="1" applyFont="1" applyBorder="1">
      <alignment vertical="center"/>
    </xf>
    <xf numFmtId="177" fontId="2" fillId="0" borderId="79" xfId="5" applyNumberFormat="1" applyFont="1" applyBorder="1" applyAlignment="1">
      <alignment horizontal="right" vertical="center" wrapText="1"/>
    </xf>
    <xf numFmtId="0" fontId="2" fillId="0" borderId="0" xfId="5" applyNumberFormat="1" applyFont="1" applyAlignment="1">
      <alignment horizontal="distributed" vertical="center" wrapText="1" shrinkToFit="1"/>
    </xf>
    <xf numFmtId="0" fontId="4" fillId="0" borderId="25" xfId="5" applyNumberFormat="1" applyFont="1" applyBorder="1" applyAlignment="1">
      <alignment horizontal="center" vertical="center" wrapText="1"/>
    </xf>
    <xf numFmtId="0" fontId="2" fillId="0" borderId="80" xfId="5" applyNumberFormat="1" applyFont="1" applyBorder="1" applyAlignment="1">
      <alignment horizontal="distributed" vertical="center" wrapText="1"/>
    </xf>
    <xf numFmtId="177" fontId="4" fillId="0" borderId="81" xfId="5" applyNumberFormat="1" applyFont="1" applyBorder="1" applyAlignment="1">
      <alignment horizontal="right" vertical="center"/>
    </xf>
    <xf numFmtId="177" fontId="4" fillId="0" borderId="82" xfId="5" applyNumberFormat="1" applyFont="1" applyBorder="1" applyAlignment="1">
      <alignment horizontal="right" vertical="center"/>
    </xf>
    <xf numFmtId="0" fontId="4" fillId="0" borderId="83" xfId="5" applyNumberFormat="1" applyFont="1" applyBorder="1" applyAlignment="1">
      <alignment horizontal="center" vertical="center" wrapText="1"/>
    </xf>
    <xf numFmtId="178" fontId="2" fillId="0" borderId="72" xfId="5" applyNumberFormat="1" applyFont="1" applyBorder="1">
      <alignment vertical="center"/>
    </xf>
    <xf numFmtId="178" fontId="2" fillId="0" borderId="84" xfId="5" applyNumberFormat="1" applyFont="1" applyBorder="1">
      <alignment vertical="center"/>
    </xf>
    <xf numFmtId="0" fontId="2" fillId="0" borderId="64" xfId="5" applyNumberFormat="1" applyFont="1" applyBorder="1" applyAlignment="1">
      <alignment horizontal="distributed" vertical="center" wrapText="1"/>
    </xf>
    <xf numFmtId="178" fontId="2" fillId="11" borderId="59" xfId="5" applyNumberFormat="1" applyFont="1" applyFill="1" applyBorder="1" applyAlignment="1">
      <alignment horizontal="right" vertical="center"/>
    </xf>
    <xf numFmtId="177" fontId="2" fillId="0" borderId="59" xfId="5" applyNumberFormat="1" applyFont="1" applyBorder="1" applyAlignment="1">
      <alignment horizontal="right" vertical="center"/>
    </xf>
    <xf numFmtId="178" fontId="2" fillId="0" borderId="65" xfId="5" applyNumberFormat="1" applyFont="1" applyBorder="1" applyAlignment="1">
      <alignment horizontal="right" vertical="center"/>
    </xf>
    <xf numFmtId="0" fontId="2" fillId="0" borderId="85" xfId="5" applyNumberFormat="1" applyFont="1" applyBorder="1" applyAlignment="1">
      <alignment horizontal="distributed" vertical="center" wrapText="1"/>
    </xf>
    <xf numFmtId="178" fontId="2" fillId="11" borderId="86" xfId="5" applyNumberFormat="1" applyFont="1" applyFill="1" applyBorder="1" applyAlignment="1">
      <alignment horizontal="right" vertical="center"/>
    </xf>
    <xf numFmtId="177" fontId="2" fillId="0" borderId="86" xfId="5" applyNumberFormat="1" applyFont="1" applyBorder="1" applyAlignment="1">
      <alignment horizontal="right" vertical="center"/>
    </xf>
    <xf numFmtId="178" fontId="2" fillId="0" borderId="87" xfId="5" applyNumberFormat="1" applyFont="1" applyBorder="1" applyAlignment="1">
      <alignment horizontal="right" vertical="center"/>
    </xf>
    <xf numFmtId="49" fontId="2" fillId="0" borderId="0" xfId="5" applyNumberFormat="1" applyFont="1" applyAlignment="1">
      <alignment horizontal="left" vertical="center" shrinkToFit="1"/>
    </xf>
    <xf numFmtId="177" fontId="1" fillId="0" borderId="0" xfId="5" applyNumberFormat="1" applyFont="1" applyAlignment="1">
      <alignment horizontal="right" vertical="center"/>
    </xf>
    <xf numFmtId="41" fontId="2" fillId="0" borderId="0" xfId="5" applyNumberFormat="1" applyFont="1">
      <alignment vertical="center"/>
    </xf>
    <xf numFmtId="41" fontId="3" fillId="0" borderId="0" xfId="5" applyNumberFormat="1" applyFont="1">
      <alignment vertical="center"/>
    </xf>
    <xf numFmtId="41" fontId="4" fillId="0" borderId="0" xfId="5" applyNumberFormat="1" applyFont="1">
      <alignment vertical="center"/>
    </xf>
    <xf numFmtId="41" fontId="52" fillId="0" borderId="12" xfId="5" applyNumberFormat="1" applyBorder="1">
      <alignment vertical="center"/>
    </xf>
    <xf numFmtId="0" fontId="19" fillId="0" borderId="0" xfId="5" applyNumberFormat="1" applyFont="1" applyAlignment="1">
      <alignment vertical="center" wrapText="1"/>
    </xf>
    <xf numFmtId="0" fontId="2" fillId="0" borderId="0" xfId="5" applyNumberFormat="1" applyFont="1">
      <alignment vertical="center"/>
    </xf>
    <xf numFmtId="0" fontId="2" fillId="0" borderId="0" xfId="5" applyNumberFormat="1" applyFont="1" applyAlignment="1">
      <alignment horizontal="left" vertical="center" wrapText="1"/>
    </xf>
    <xf numFmtId="0" fontId="2" fillId="0" borderId="0" xfId="5" applyNumberFormat="1" applyFont="1" applyAlignment="1">
      <alignment horizontal="center" vertical="center" wrapText="1"/>
    </xf>
    <xf numFmtId="0" fontId="2" fillId="0" borderId="0" xfId="5" applyNumberFormat="1" applyFont="1" applyAlignment="1">
      <alignment horizontal="right" vertical="center" wrapText="1"/>
    </xf>
    <xf numFmtId="0" fontId="2" fillId="0" borderId="0" xfId="5" applyNumberFormat="1" applyFont="1" applyAlignment="1">
      <alignment horizontal="left" vertical="center"/>
    </xf>
    <xf numFmtId="177" fontId="33" fillId="0" borderId="0" xfId="5" applyNumberFormat="1" applyFont="1">
      <alignment vertical="center"/>
    </xf>
    <xf numFmtId="0" fontId="4" fillId="2" borderId="39" xfId="5" applyNumberFormat="1" applyFont="1" applyFill="1" applyBorder="1" applyAlignment="1">
      <alignment horizontal="center" vertical="center" wrapText="1"/>
    </xf>
    <xf numFmtId="0" fontId="4" fillId="2" borderId="40" xfId="5" applyNumberFormat="1" applyFont="1" applyFill="1" applyBorder="1" applyAlignment="1">
      <alignment horizontal="center" vertical="center" wrapText="1"/>
    </xf>
    <xf numFmtId="0" fontId="4" fillId="2" borderId="41" xfId="5" applyNumberFormat="1" applyFont="1" applyFill="1" applyBorder="1" applyAlignment="1">
      <alignment horizontal="center" vertical="center" wrapText="1"/>
    </xf>
    <xf numFmtId="0" fontId="2" fillId="0" borderId="6" xfId="5" applyNumberFormat="1" applyFont="1" applyBorder="1" applyAlignment="1">
      <alignment horizontal="center" vertical="center" wrapText="1"/>
    </xf>
    <xf numFmtId="177" fontId="2" fillId="0" borderId="88" xfId="5" applyNumberFormat="1" applyFont="1" applyBorder="1" applyAlignment="1">
      <alignment horizontal="right" vertical="center" wrapText="1"/>
    </xf>
    <xf numFmtId="0" fontId="2" fillId="0" borderId="17" xfId="5" applyNumberFormat="1" applyFont="1" applyBorder="1" applyAlignment="1">
      <alignment horizontal="center" vertical="center" wrapText="1"/>
    </xf>
    <xf numFmtId="177" fontId="2" fillId="0" borderId="89" xfId="5" applyNumberFormat="1" applyFont="1" applyBorder="1" applyAlignment="1">
      <alignment horizontal="right" vertical="center" wrapText="1"/>
    </xf>
    <xf numFmtId="0" fontId="34" fillId="0" borderId="0" xfId="5" applyNumberFormat="1" applyFont="1" applyAlignment="1">
      <alignment horizontal="left" vertical="center"/>
    </xf>
    <xf numFmtId="0" fontId="34" fillId="0" borderId="0" xfId="5" applyNumberFormat="1" applyFont="1" applyAlignment="1">
      <alignment horizontal="left" vertical="center" wrapText="1"/>
    </xf>
    <xf numFmtId="41" fontId="35" fillId="0" borderId="0" xfId="5" applyNumberFormat="1" applyFont="1">
      <alignment vertical="center"/>
    </xf>
    <xf numFmtId="0" fontId="4" fillId="0" borderId="0" xfId="5" applyNumberFormat="1" applyFont="1" applyAlignment="1">
      <alignment horizontal="left" vertical="center"/>
    </xf>
    <xf numFmtId="0" fontId="2" fillId="0" borderId="35" xfId="5" applyNumberFormat="1" applyFont="1" applyBorder="1" applyAlignment="1">
      <alignment horizontal="center" vertical="center" wrapText="1"/>
    </xf>
    <xf numFmtId="0" fontId="2" fillId="0" borderId="0" xfId="5" applyNumberFormat="1" applyFont="1" applyAlignment="1">
      <alignment vertical="center" wrapText="1"/>
    </xf>
    <xf numFmtId="0" fontId="2" fillId="0" borderId="29" xfId="5" applyNumberFormat="1" applyFont="1" applyBorder="1" applyAlignment="1">
      <alignment vertical="center" wrapText="1"/>
    </xf>
    <xf numFmtId="177" fontId="2" fillId="0" borderId="29" xfId="5" applyNumberFormat="1" applyFont="1" applyBorder="1" applyAlignment="1">
      <alignment vertical="center" wrapText="1"/>
    </xf>
    <xf numFmtId="0" fontId="2" fillId="0" borderId="29" xfId="5" applyNumberFormat="1" applyFont="1" applyBorder="1" applyAlignment="1">
      <alignment horizontal="center" vertical="center"/>
    </xf>
    <xf numFmtId="177" fontId="2" fillId="0" borderId="29" xfId="5" applyNumberFormat="1" applyFont="1" applyBorder="1">
      <alignment vertical="center"/>
    </xf>
    <xf numFmtId="0" fontId="36" fillId="0" borderId="0" xfId="5" applyNumberFormat="1" applyFont="1" applyBorder="1">
      <alignment vertical="center"/>
    </xf>
    <xf numFmtId="0" fontId="34" fillId="0" borderId="0" xfId="5" applyNumberFormat="1" applyFont="1" applyAlignment="1">
      <alignment vertical="center" wrapText="1"/>
    </xf>
    <xf numFmtId="177" fontId="34" fillId="0" borderId="0" xfId="5" applyNumberFormat="1" applyFont="1" applyBorder="1" applyAlignment="1">
      <alignment horizontal="right" vertical="center" wrapText="1"/>
    </xf>
    <xf numFmtId="0" fontId="34" fillId="0" borderId="0" xfId="5" applyNumberFormat="1" applyFont="1" applyAlignment="1">
      <alignment horizontal="center" vertical="center" wrapText="1"/>
    </xf>
    <xf numFmtId="177" fontId="34" fillId="0" borderId="0" xfId="5" applyNumberFormat="1" applyFont="1" applyAlignment="1">
      <alignment horizontal="right" vertical="center" wrapText="1"/>
    </xf>
    <xf numFmtId="0" fontId="4" fillId="2" borderId="90" xfId="5" applyNumberFormat="1" applyFont="1" applyFill="1" applyBorder="1" applyAlignment="1">
      <alignment horizontal="center" vertical="center" wrapText="1"/>
    </xf>
    <xf numFmtId="0" fontId="4" fillId="2" borderId="58" xfId="5" applyNumberFormat="1" applyFont="1" applyFill="1" applyBorder="1" applyAlignment="1">
      <alignment horizontal="center" vertical="center" wrapText="1"/>
    </xf>
    <xf numFmtId="0" fontId="4" fillId="2" borderId="61" xfId="5" applyNumberFormat="1" applyFont="1" applyFill="1" applyBorder="1" applyAlignment="1">
      <alignment horizontal="center" vertical="center" wrapText="1"/>
    </xf>
    <xf numFmtId="0" fontId="2" fillId="0" borderId="0" xfId="5" applyNumberFormat="1" applyFont="1" applyBorder="1" applyAlignment="1">
      <alignment horizontal="center" vertical="center" wrapText="1"/>
    </xf>
    <xf numFmtId="177" fontId="2" fillId="0" borderId="0" xfId="5" applyNumberFormat="1" applyFont="1" applyBorder="1" applyAlignment="1">
      <alignment horizontal="right" vertical="center" wrapText="1"/>
    </xf>
    <xf numFmtId="177" fontId="2" fillId="0" borderId="0" xfId="5" applyNumberFormat="1" applyFont="1" applyAlignment="1">
      <alignment horizontal="right" vertical="center" wrapText="1"/>
    </xf>
    <xf numFmtId="0" fontId="4" fillId="0" borderId="90" xfId="5" applyNumberFormat="1" applyFont="1" applyBorder="1" applyAlignment="1">
      <alignment horizontal="center" vertical="center" wrapText="1"/>
    </xf>
    <xf numFmtId="177" fontId="4" fillId="0" borderId="58" xfId="5" applyNumberFormat="1" applyFont="1" applyBorder="1" applyAlignment="1">
      <alignment horizontal="right" vertical="center" wrapText="1" indent="1"/>
    </xf>
    <xf numFmtId="0" fontId="4" fillId="0" borderId="58" xfId="5" applyNumberFormat="1" applyFont="1" applyBorder="1" applyAlignment="1">
      <alignment horizontal="center" vertical="center" wrapText="1"/>
    </xf>
    <xf numFmtId="177" fontId="4" fillId="0" borderId="61" xfId="5" applyNumberFormat="1" applyFont="1" applyBorder="1" applyAlignment="1">
      <alignment horizontal="right" vertical="center" wrapText="1" indent="1"/>
    </xf>
    <xf numFmtId="0" fontId="2" fillId="0" borderId="0" xfId="5" applyNumberFormat="1" applyFont="1" applyAlignment="1">
      <alignment horizontal="center" vertical="center"/>
    </xf>
    <xf numFmtId="177" fontId="2" fillId="0" borderId="0" xfId="5" applyNumberFormat="1" applyFont="1" applyAlignment="1">
      <alignment horizontal="right" vertical="center"/>
    </xf>
    <xf numFmtId="0" fontId="2" fillId="0" borderId="91" xfId="5" applyNumberFormat="1" applyFont="1" applyBorder="1" applyAlignment="1">
      <alignment horizontal="left" vertical="center" wrapText="1"/>
    </xf>
    <xf numFmtId="177" fontId="2" fillId="0" borderId="59" xfId="5" applyNumberFormat="1" applyFont="1" applyBorder="1" applyAlignment="1">
      <alignment horizontal="right" vertical="center" wrapText="1" indent="1"/>
    </xf>
    <xf numFmtId="0" fontId="2" fillId="0" borderId="59" xfId="5" applyNumberFormat="1" applyFont="1" applyBorder="1" applyAlignment="1">
      <alignment horizontal="left" vertical="center" wrapText="1"/>
    </xf>
    <xf numFmtId="177" fontId="2" fillId="0" borderId="92" xfId="5" applyNumberFormat="1" applyFont="1" applyBorder="1" applyAlignment="1">
      <alignment horizontal="right" vertical="center" wrapText="1" indent="1"/>
    </xf>
    <xf numFmtId="0" fontId="2" fillId="0" borderId="0" xfId="5" applyNumberFormat="1" applyFont="1" applyAlignment="1">
      <alignment horizontal="justify" vertical="center" wrapText="1"/>
    </xf>
    <xf numFmtId="0" fontId="2" fillId="0" borderId="23" xfId="5" applyNumberFormat="1" applyFont="1" applyBorder="1" applyAlignment="1">
      <alignment horizontal="left" vertical="center" wrapText="1"/>
    </xf>
    <xf numFmtId="177" fontId="2" fillId="0" borderId="67" xfId="5" applyNumberFormat="1" applyFont="1" applyBorder="1" applyAlignment="1">
      <alignment horizontal="right" vertical="center" wrapText="1" indent="1"/>
    </xf>
    <xf numFmtId="0" fontId="2" fillId="0" borderId="67" xfId="5" applyNumberFormat="1" applyFont="1" applyBorder="1" applyAlignment="1">
      <alignment horizontal="left" vertical="center" wrapText="1"/>
    </xf>
    <xf numFmtId="177" fontId="2" fillId="0" borderId="19" xfId="5" applyNumberFormat="1" applyFont="1" applyBorder="1" applyAlignment="1">
      <alignment horizontal="right" vertical="center" wrapText="1" indent="1"/>
    </xf>
    <xf numFmtId="0" fontId="1" fillId="0" borderId="93" xfId="5" applyNumberFormat="1" applyFont="1" applyBorder="1">
      <alignment vertical="center"/>
    </xf>
    <xf numFmtId="0" fontId="1" fillId="0" borderId="86" xfId="5" applyNumberFormat="1" applyFont="1" applyBorder="1">
      <alignment vertical="center"/>
    </xf>
    <xf numFmtId="0" fontId="2" fillId="0" borderId="86" xfId="5" applyNumberFormat="1" applyFont="1" applyBorder="1">
      <alignment vertical="center"/>
    </xf>
    <xf numFmtId="177" fontId="2" fillId="0" borderId="13" xfId="5" applyNumberFormat="1" applyFont="1" applyBorder="1" applyAlignment="1">
      <alignment horizontal="right" vertical="center" wrapText="1" indent="1"/>
    </xf>
    <xf numFmtId="41" fontId="2" fillId="0" borderId="0" xfId="5" applyNumberFormat="1" applyFont="1" applyAlignment="1">
      <alignment horizontal="justify" vertical="center" wrapText="1"/>
    </xf>
    <xf numFmtId="177" fontId="2" fillId="0" borderId="0" xfId="5" applyNumberFormat="1" applyFont="1">
      <alignment vertical="center"/>
    </xf>
    <xf numFmtId="0" fontId="2" fillId="0" borderId="0" xfId="5" applyNumberFormat="1" applyFont="1" applyAlignment="1">
      <alignment horizontal="left" vertical="top"/>
    </xf>
    <xf numFmtId="0" fontId="4" fillId="2" borderId="90" xfId="5" applyNumberFormat="1" applyFont="1" applyFill="1" applyBorder="1" applyAlignment="1">
      <alignment horizontal="center" vertical="center" wrapText="1"/>
    </xf>
    <xf numFmtId="0" fontId="4" fillId="2" borderId="58" xfId="5" applyNumberFormat="1" applyFont="1" applyFill="1" applyBorder="1" applyAlignment="1">
      <alignment horizontal="center" vertical="center" wrapText="1"/>
    </xf>
    <xf numFmtId="0" fontId="4" fillId="2" borderId="61" xfId="5" applyNumberFormat="1" applyFont="1" applyFill="1" applyBorder="1" applyAlignment="1">
      <alignment horizontal="center" vertical="center" wrapText="1"/>
    </xf>
    <xf numFmtId="0" fontId="4" fillId="0" borderId="90" xfId="5" applyNumberFormat="1" applyFont="1" applyBorder="1" applyAlignment="1">
      <alignment horizontal="center" vertical="center" wrapText="1"/>
    </xf>
    <xf numFmtId="177" fontId="4" fillId="0" borderId="58" xfId="5" applyNumberFormat="1" applyFont="1" applyBorder="1" applyAlignment="1">
      <alignment horizontal="right" vertical="center" wrapText="1" indent="1"/>
    </xf>
    <xf numFmtId="0" fontId="4" fillId="0" borderId="58" xfId="5" applyNumberFormat="1" applyFont="1" applyBorder="1" applyAlignment="1">
      <alignment horizontal="center" vertical="center" wrapText="1"/>
    </xf>
    <xf numFmtId="177" fontId="4" fillId="0" borderId="61" xfId="5" applyNumberFormat="1" applyFont="1" applyBorder="1" applyAlignment="1">
      <alignment horizontal="right" vertical="center" wrapText="1" indent="1"/>
    </xf>
    <xf numFmtId="0" fontId="37" fillId="0" borderId="0" xfId="5" applyNumberFormat="1" applyFont="1" applyAlignment="1">
      <alignment horizontal="left" vertical="center"/>
    </xf>
    <xf numFmtId="0" fontId="38" fillId="0" borderId="0" xfId="5" applyNumberFormat="1" applyFont="1" applyAlignment="1">
      <alignment horizontal="justify" vertical="center" wrapText="1"/>
    </xf>
    <xf numFmtId="177" fontId="38" fillId="0" borderId="0" xfId="5" applyNumberFormat="1" applyFont="1">
      <alignment vertical="center"/>
    </xf>
    <xf numFmtId="0" fontId="2" fillId="0" borderId="94" xfId="5" applyNumberFormat="1" applyFont="1" applyBorder="1" applyAlignment="1">
      <alignment horizontal="left" vertical="center" wrapText="1"/>
    </xf>
    <xf numFmtId="177" fontId="2" fillId="0" borderId="67" xfId="5" applyNumberFormat="1" applyFont="1" applyBorder="1" applyAlignment="1">
      <alignment horizontal="right" vertical="center" wrapText="1" indent="1"/>
    </xf>
    <xf numFmtId="0" fontId="2" fillId="0" borderId="67" xfId="5" applyNumberFormat="1" applyFont="1" applyBorder="1" applyAlignment="1">
      <alignment horizontal="left" vertical="center" wrapText="1"/>
    </xf>
    <xf numFmtId="177" fontId="2" fillId="0" borderId="68" xfId="5" applyNumberFormat="1" applyFont="1" applyBorder="1" applyAlignment="1">
      <alignment horizontal="right" vertical="center" wrapText="1" indent="1"/>
    </xf>
    <xf numFmtId="0" fontId="4" fillId="2" borderId="39" xfId="5" applyNumberFormat="1" applyFont="1" applyFill="1" applyBorder="1" applyAlignment="1">
      <alignment horizontal="center" vertical="center"/>
    </xf>
    <xf numFmtId="0" fontId="4" fillId="2" borderId="40" xfId="5" applyNumberFormat="1" applyFont="1" applyFill="1" applyBorder="1" applyAlignment="1">
      <alignment horizontal="center" vertical="center"/>
    </xf>
    <xf numFmtId="0" fontId="4" fillId="2" borderId="41" xfId="5" applyNumberFormat="1" applyFont="1" applyFill="1" applyBorder="1" applyAlignment="1">
      <alignment horizontal="center" vertical="center"/>
    </xf>
    <xf numFmtId="0" fontId="2" fillId="11" borderId="10" xfId="5" applyNumberFormat="1" applyFont="1" applyFill="1" applyBorder="1" applyAlignment="1">
      <alignment horizontal="center" vertical="center"/>
    </xf>
    <xf numFmtId="177" fontId="2" fillId="11" borderId="89" xfId="5" applyNumberFormat="1" applyFont="1" applyFill="1" applyBorder="1">
      <alignment vertical="center"/>
    </xf>
    <xf numFmtId="0" fontId="2" fillId="0" borderId="94" xfId="5" applyNumberFormat="1" applyFont="1" applyBorder="1" applyAlignment="1">
      <alignment horizontal="left" vertical="center" shrinkToFit="1"/>
    </xf>
    <xf numFmtId="0" fontId="2" fillId="0" borderId="95" xfId="5" applyNumberFormat="1" applyFont="1" applyBorder="1" applyAlignment="1">
      <alignment horizontal="left" vertical="center" wrapText="1"/>
    </xf>
    <xf numFmtId="177" fontId="2" fillId="0" borderId="86" xfId="5" applyNumberFormat="1" applyFont="1" applyBorder="1" applyAlignment="1">
      <alignment horizontal="right" vertical="center" wrapText="1" indent="1"/>
    </xf>
    <xf numFmtId="0" fontId="2" fillId="0" borderId="86" xfId="5" applyNumberFormat="1" applyFont="1" applyBorder="1" applyAlignment="1">
      <alignment horizontal="left" vertical="center" wrapText="1"/>
    </xf>
    <xf numFmtId="177" fontId="2" fillId="0" borderId="87" xfId="5" applyNumberFormat="1" applyFont="1" applyBorder="1" applyAlignment="1">
      <alignment horizontal="right" vertical="center" wrapText="1" indent="1"/>
    </xf>
    <xf numFmtId="0" fontId="2" fillId="11" borderId="10" xfId="5" applyNumberFormat="1" applyFont="1" applyFill="1" applyBorder="1" applyAlignment="1">
      <alignment horizontal="center" vertical="center"/>
    </xf>
    <xf numFmtId="177" fontId="2" fillId="11" borderId="89" xfId="5" applyNumberFormat="1" applyFont="1" applyFill="1" applyBorder="1">
      <alignment vertical="center"/>
    </xf>
    <xf numFmtId="0" fontId="2" fillId="11" borderId="3" xfId="5" applyNumberFormat="1" applyFont="1" applyFill="1" applyBorder="1" applyAlignment="1">
      <alignment horizontal="center" vertical="center"/>
    </xf>
    <xf numFmtId="177" fontId="2" fillId="11" borderId="78" xfId="5" applyNumberFormat="1" applyFont="1" applyFill="1" applyBorder="1">
      <alignment vertical="center"/>
    </xf>
    <xf numFmtId="41" fontId="1" fillId="0" borderId="0" xfId="12" applyNumberFormat="1" applyFont="1">
      <alignment vertical="center"/>
    </xf>
    <xf numFmtId="178" fontId="1" fillId="0" borderId="0" xfId="5" applyNumberFormat="1" applyFont="1">
      <alignment vertical="center"/>
    </xf>
    <xf numFmtId="177" fontId="52" fillId="0" borderId="0" xfId="5" applyNumberFormat="1">
      <alignment vertical="center"/>
    </xf>
    <xf numFmtId="0" fontId="19" fillId="0" borderId="0" xfId="5" applyNumberFormat="1" applyFont="1" applyAlignment="1">
      <alignment horizontal="left" vertical="center"/>
    </xf>
    <xf numFmtId="0" fontId="1" fillId="0" borderId="0" xfId="5" applyNumberFormat="1" applyFont="1" applyAlignment="1">
      <alignment horizontal="left" vertical="center"/>
    </xf>
    <xf numFmtId="177" fontId="4" fillId="0" borderId="58" xfId="5" applyNumberFormat="1" applyFont="1" applyBorder="1" applyAlignment="1">
      <alignment horizontal="right" vertical="center" wrapText="1" indent="2"/>
    </xf>
    <xf numFmtId="177" fontId="4" fillId="0" borderId="61" xfId="5" applyNumberFormat="1" applyFont="1" applyBorder="1" applyAlignment="1">
      <alignment horizontal="right" vertical="center" wrapText="1" indent="2"/>
    </xf>
    <xf numFmtId="0" fontId="2" fillId="0" borderId="96" xfId="5" applyNumberFormat="1" applyFont="1" applyBorder="1" applyAlignment="1">
      <alignment horizontal="distributed" vertical="center" wrapText="1"/>
    </xf>
    <xf numFmtId="177" fontId="2" fillId="0" borderId="59" xfId="5" applyNumberFormat="1" applyFont="1" applyBorder="1" applyAlignment="1">
      <alignment horizontal="right" vertical="center" wrapText="1" indent="2"/>
    </xf>
    <xf numFmtId="0" fontId="2" fillId="0" borderId="59" xfId="5" applyNumberFormat="1" applyFont="1" applyBorder="1" applyAlignment="1">
      <alignment horizontal="distributed" vertical="center" wrapText="1"/>
    </xf>
    <xf numFmtId="177" fontId="2" fillId="0" borderId="65" xfId="5" applyNumberFormat="1" applyFont="1" applyBorder="1" applyAlignment="1">
      <alignment horizontal="right" vertical="center" wrapText="1" indent="2"/>
    </xf>
    <xf numFmtId="0" fontId="2" fillId="0" borderId="94" xfId="5" applyNumberFormat="1" applyFont="1" applyBorder="1" applyAlignment="1">
      <alignment horizontal="distributed" vertical="center" wrapText="1"/>
    </xf>
    <xf numFmtId="177" fontId="2" fillId="0" borderId="67" xfId="5" applyNumberFormat="1" applyFont="1" applyBorder="1" applyAlignment="1">
      <alignment horizontal="right" vertical="center" wrapText="1" indent="2"/>
    </xf>
    <xf numFmtId="0" fontId="2" fillId="0" borderId="67" xfId="5" applyNumberFormat="1" applyFont="1" applyBorder="1" applyAlignment="1">
      <alignment horizontal="distributed" vertical="center" wrapText="1"/>
    </xf>
    <xf numFmtId="177" fontId="2" fillId="0" borderId="68" xfId="5" applyNumberFormat="1" applyFont="1" applyBorder="1" applyAlignment="1">
      <alignment horizontal="right" vertical="center" wrapText="1" indent="2"/>
    </xf>
    <xf numFmtId="177" fontId="2" fillId="11" borderId="68" xfId="5" applyNumberFormat="1" applyFont="1" applyFill="1" applyBorder="1" applyAlignment="1">
      <alignment horizontal="right" vertical="center" wrapText="1" indent="2"/>
    </xf>
    <xf numFmtId="177" fontId="2" fillId="0" borderId="97" xfId="5" applyNumberFormat="1" applyFont="1" applyBorder="1" applyAlignment="1">
      <alignment horizontal="right" vertical="center" wrapText="1" indent="2"/>
    </xf>
    <xf numFmtId="0" fontId="2" fillId="0" borderId="98" xfId="5" applyNumberFormat="1" applyFont="1" applyBorder="1" applyAlignment="1">
      <alignment horizontal="distributed" vertical="center" wrapText="1"/>
    </xf>
    <xf numFmtId="177" fontId="2" fillId="0" borderId="99" xfId="5" applyNumberFormat="1" applyFont="1" applyBorder="1" applyAlignment="1">
      <alignment horizontal="right" vertical="center" wrapText="1" indent="2"/>
    </xf>
    <xf numFmtId="0" fontId="4" fillId="0" borderId="100" xfId="5" applyNumberFormat="1" applyFont="1" applyBorder="1" applyAlignment="1">
      <alignment horizontal="center" vertical="center" wrapText="1"/>
    </xf>
    <xf numFmtId="177" fontId="4" fillId="0" borderId="101" xfId="5" applyNumberFormat="1" applyFont="1" applyBorder="1" applyAlignment="1">
      <alignment horizontal="right" vertical="center" wrapText="1" indent="2"/>
    </xf>
    <xf numFmtId="0" fontId="4" fillId="0" borderId="101" xfId="5" applyNumberFormat="1" applyFont="1" applyBorder="1" applyAlignment="1">
      <alignment horizontal="center" vertical="center" wrapText="1"/>
    </xf>
    <xf numFmtId="177" fontId="4" fillId="0" borderId="102" xfId="5" applyNumberFormat="1" applyFont="1" applyBorder="1" applyAlignment="1">
      <alignment horizontal="right" vertical="center" wrapText="1" indent="2"/>
    </xf>
    <xf numFmtId="186" fontId="1" fillId="0" borderId="0" xfId="5" applyNumberFormat="1" applyFont="1">
      <alignment vertical="center"/>
    </xf>
    <xf numFmtId="0" fontId="52" fillId="0" borderId="0" xfId="5" applyNumberFormat="1">
      <alignment vertical="center"/>
    </xf>
    <xf numFmtId="0" fontId="4" fillId="0" borderId="90" xfId="5" applyNumberFormat="1" applyFont="1" applyBorder="1" applyAlignment="1">
      <alignment horizontal="distributed" vertical="center" wrapText="1"/>
    </xf>
    <xf numFmtId="0" fontId="4" fillId="0" borderId="58" xfId="5" applyNumberFormat="1" applyFont="1" applyBorder="1" applyAlignment="1">
      <alignment horizontal="distributed" vertical="center" wrapText="1"/>
    </xf>
    <xf numFmtId="0" fontId="2" fillId="0" borderId="94" xfId="5" applyNumberFormat="1" applyFont="1" applyBorder="1" applyAlignment="1">
      <alignment horizontal="center" vertical="center" wrapText="1"/>
    </xf>
    <xf numFmtId="41" fontId="52" fillId="0" borderId="0" xfId="5" applyNumberFormat="1">
      <alignment vertical="center"/>
    </xf>
    <xf numFmtId="0" fontId="2" fillId="0" borderId="67" xfId="5" applyNumberFormat="1" applyFont="1" applyBorder="1" applyAlignment="1">
      <alignment horizontal="center" vertical="center" wrapText="1"/>
    </xf>
    <xf numFmtId="0" fontId="2" fillId="0" borderId="103" xfId="5" applyNumberFormat="1" applyFont="1" applyBorder="1" applyAlignment="1">
      <alignment horizontal="center" vertical="center" wrapText="1"/>
    </xf>
    <xf numFmtId="0" fontId="4" fillId="0" borderId="94" xfId="5" applyNumberFormat="1" applyFont="1" applyBorder="1" applyAlignment="1">
      <alignment horizontal="center" vertical="center" wrapText="1"/>
    </xf>
    <xf numFmtId="177" fontId="2" fillId="0" borderId="64" xfId="5" applyNumberFormat="1" applyFont="1" applyBorder="1" applyAlignment="1">
      <alignment horizontal="right" vertical="center" wrapText="1" indent="1"/>
    </xf>
    <xf numFmtId="0" fontId="2" fillId="0" borderId="104" xfId="5" applyNumberFormat="1" applyFont="1" applyBorder="1" applyAlignment="1">
      <alignment horizontal="distributed" vertical="center" wrapText="1"/>
    </xf>
    <xf numFmtId="177" fontId="2" fillId="0" borderId="19" xfId="5" applyNumberFormat="1" applyFont="1" applyBorder="1" applyAlignment="1">
      <alignment horizontal="right" vertical="center" wrapText="1" indent="1"/>
    </xf>
    <xf numFmtId="0" fontId="2" fillId="0" borderId="94" xfId="5" applyNumberFormat="1" applyFont="1" applyBorder="1" applyAlignment="1">
      <alignment vertical="center" wrapText="1"/>
    </xf>
    <xf numFmtId="177" fontId="2" fillId="0" borderId="66" xfId="5" applyNumberFormat="1" applyFont="1" applyBorder="1" applyAlignment="1">
      <alignment horizontal="right" vertical="center" wrapText="1" indent="1"/>
    </xf>
    <xf numFmtId="0" fontId="52" fillId="0" borderId="74" xfId="5" applyNumberFormat="1" applyBorder="1">
      <alignment vertical="center"/>
    </xf>
    <xf numFmtId="0" fontId="52" fillId="0" borderId="19" xfId="5" applyNumberFormat="1" applyBorder="1">
      <alignment vertical="center"/>
    </xf>
    <xf numFmtId="0" fontId="0" fillId="0" borderId="67" xfId="5" applyNumberFormat="1" applyFont="1" applyBorder="1">
      <alignment vertical="center"/>
    </xf>
    <xf numFmtId="0" fontId="0" fillId="0" borderId="0" xfId="5" applyNumberFormat="1" applyFont="1">
      <alignment vertical="center"/>
    </xf>
    <xf numFmtId="0" fontId="4" fillId="0" borderId="67" xfId="5" applyNumberFormat="1" applyFont="1" applyBorder="1" applyAlignment="1">
      <alignment horizontal="center" vertical="center" wrapText="1"/>
    </xf>
    <xf numFmtId="0" fontId="2" fillId="0" borderId="74" xfId="5" applyNumberFormat="1" applyFont="1" applyBorder="1" applyAlignment="1">
      <alignment horizontal="distributed" vertical="center" wrapText="1"/>
    </xf>
    <xf numFmtId="0" fontId="2" fillId="0" borderId="99" xfId="5" applyNumberFormat="1" applyFont="1" applyBorder="1" applyAlignment="1">
      <alignment horizontal="center" vertical="center" wrapText="1"/>
    </xf>
    <xf numFmtId="0" fontId="2" fillId="0" borderId="105" xfId="5" applyNumberFormat="1" applyFont="1" applyBorder="1" applyAlignment="1">
      <alignment horizontal="distributed" vertical="center" wrapText="1"/>
    </xf>
    <xf numFmtId="177" fontId="2" fillId="0" borderId="106" xfId="5" applyNumberFormat="1" applyFont="1" applyBorder="1" applyAlignment="1">
      <alignment horizontal="right" vertical="center" wrapText="1" indent="1"/>
    </xf>
    <xf numFmtId="177" fontId="2" fillId="0" borderId="79" xfId="5" applyNumberFormat="1" applyFont="1" applyBorder="1" applyAlignment="1">
      <alignment horizontal="right" vertical="center" wrapText="1" indent="1"/>
    </xf>
    <xf numFmtId="0" fontId="4" fillId="0" borderId="94" xfId="5" applyNumberFormat="1" applyFont="1" applyBorder="1" applyAlignment="1">
      <alignment horizontal="distributed" vertical="center" wrapText="1"/>
    </xf>
    <xf numFmtId="177" fontId="4" fillId="0" borderId="67" xfId="5" applyNumberFormat="1" applyFont="1" applyBorder="1" applyAlignment="1">
      <alignment horizontal="right" vertical="center" wrapText="1" indent="1"/>
    </xf>
    <xf numFmtId="0" fontId="4" fillId="0" borderId="99" xfId="5" applyNumberFormat="1" applyFont="1" applyBorder="1" applyAlignment="1">
      <alignment horizontal="center" vertical="center" wrapText="1"/>
    </xf>
    <xf numFmtId="0" fontId="2" fillId="0" borderId="99" xfId="5" applyNumberFormat="1" applyFont="1" applyBorder="1" applyAlignment="1">
      <alignment horizontal="distributed" vertical="center" wrapText="1"/>
    </xf>
    <xf numFmtId="0" fontId="2" fillId="0" borderId="103" xfId="5" applyNumberFormat="1" applyFont="1" applyBorder="1" applyAlignment="1">
      <alignment vertical="center" wrapText="1"/>
    </xf>
    <xf numFmtId="0" fontId="2" fillId="0" borderId="81" xfId="5" applyNumberFormat="1" applyFont="1" applyBorder="1" applyAlignment="1">
      <alignment horizontal="distributed" vertical="center" wrapText="1"/>
    </xf>
    <xf numFmtId="177" fontId="2" fillId="0" borderId="99" xfId="5" applyNumberFormat="1" applyFont="1" applyBorder="1" applyAlignment="1">
      <alignment horizontal="right" vertical="center" wrapText="1" indent="1"/>
    </xf>
    <xf numFmtId="0" fontId="4" fillId="0" borderId="59" xfId="5" applyNumberFormat="1" applyFont="1" applyBorder="1" applyAlignment="1">
      <alignment horizontal="distributed" vertical="center" wrapText="1"/>
    </xf>
    <xf numFmtId="177" fontId="4" fillId="0" borderId="65" xfId="5" applyNumberFormat="1" applyFont="1" applyBorder="1" applyAlignment="1">
      <alignment horizontal="right" vertical="center" wrapText="1" indent="1"/>
    </xf>
    <xf numFmtId="177" fontId="2" fillId="0" borderId="107" xfId="5" applyNumberFormat="1" applyFont="1" applyBorder="1" applyAlignment="1">
      <alignment horizontal="right" vertical="center" wrapText="1" indent="1"/>
    </xf>
    <xf numFmtId="177" fontId="2" fillId="0" borderId="65" xfId="5" applyNumberFormat="1" applyFont="1" applyBorder="1" applyAlignment="1">
      <alignment horizontal="right" vertical="center" wrapText="1" indent="1"/>
    </xf>
    <xf numFmtId="177" fontId="4" fillId="0" borderId="108" xfId="5" applyNumberFormat="1" applyFont="1" applyBorder="1" applyAlignment="1">
      <alignment horizontal="right" vertical="center" wrapText="1" indent="1"/>
    </xf>
    <xf numFmtId="177" fontId="4" fillId="0" borderId="102" xfId="5" applyNumberFormat="1" applyFont="1" applyBorder="1" applyAlignment="1">
      <alignment horizontal="right" vertical="center" wrapText="1" indent="1"/>
    </xf>
    <xf numFmtId="0" fontId="19" fillId="0" borderId="0" xfId="5" applyNumberFormat="1" applyFont="1">
      <alignment vertical="center"/>
    </xf>
    <xf numFmtId="0" fontId="4" fillId="0" borderId="0" xfId="5" applyNumberFormat="1" applyFont="1" applyAlignment="1">
      <alignment horizontal="center" vertical="center" wrapText="1"/>
    </xf>
    <xf numFmtId="0" fontId="4" fillId="0" borderId="103" xfId="5" applyNumberFormat="1" applyFont="1" applyBorder="1" applyAlignment="1">
      <alignment horizontal="distributed" vertical="center" wrapText="1"/>
    </xf>
    <xf numFmtId="0" fontId="4" fillId="0" borderId="99" xfId="5" applyNumberFormat="1" applyFont="1" applyBorder="1" applyAlignment="1">
      <alignment horizontal="center" vertical="center" wrapText="1"/>
    </xf>
    <xf numFmtId="177" fontId="4" fillId="0" borderId="99" xfId="5" applyNumberFormat="1" applyFont="1" applyBorder="1" applyAlignment="1">
      <alignment horizontal="right" vertical="center" wrapText="1" indent="2"/>
    </xf>
    <xf numFmtId="0" fontId="4" fillId="0" borderId="99" xfId="5" applyNumberFormat="1" applyFont="1" applyBorder="1" applyAlignment="1">
      <alignment horizontal="distributed" vertical="center" wrapText="1"/>
    </xf>
    <xf numFmtId="186" fontId="4" fillId="0" borderId="79" xfId="5" applyNumberFormat="1" applyFont="1" applyBorder="1" applyAlignment="1">
      <alignment horizontal="right" vertical="center" wrapText="1" indent="2"/>
    </xf>
    <xf numFmtId="186" fontId="4" fillId="0" borderId="0" xfId="5" applyNumberFormat="1" applyFont="1" applyAlignment="1">
      <alignment horizontal="right" vertical="center" wrapText="1" indent="2"/>
    </xf>
    <xf numFmtId="0" fontId="2" fillId="0" borderId="96" xfId="5" applyNumberFormat="1" applyFont="1" applyBorder="1" applyAlignment="1">
      <alignment horizontal="distributed" vertical="center" wrapText="1"/>
    </xf>
    <xf numFmtId="0" fontId="2" fillId="0" borderId="59" xfId="5" applyNumberFormat="1" applyFont="1" applyBorder="1" applyAlignment="1">
      <alignment horizontal="center" vertical="center" wrapText="1"/>
    </xf>
    <xf numFmtId="177" fontId="2" fillId="0" borderId="59" xfId="5" applyNumberFormat="1" applyFont="1" applyBorder="1" applyAlignment="1">
      <alignment horizontal="right" vertical="center" wrapText="1" indent="2"/>
    </xf>
    <xf numFmtId="0" fontId="2" fillId="0" borderId="59" xfId="5" applyNumberFormat="1" applyFont="1" applyBorder="1" applyAlignment="1">
      <alignment horizontal="distributed" vertical="center" wrapText="1"/>
    </xf>
    <xf numFmtId="186" fontId="2" fillId="0" borderId="65" xfId="5" applyNumberFormat="1" applyFont="1" applyBorder="1" applyAlignment="1">
      <alignment horizontal="right" vertical="center" wrapText="1" indent="2"/>
    </xf>
    <xf numFmtId="186" fontId="2" fillId="0" borderId="0" xfId="5" applyNumberFormat="1" applyFont="1" applyAlignment="1">
      <alignment horizontal="right" vertical="center" wrapText="1" indent="2"/>
    </xf>
    <xf numFmtId="0" fontId="4" fillId="0" borderId="90" xfId="5" applyNumberFormat="1" applyFont="1" applyBorder="1" applyAlignment="1">
      <alignment horizontal="distributed" vertical="center" wrapText="1"/>
    </xf>
    <xf numFmtId="177" fontId="4" fillId="0" borderId="58" xfId="5" applyNumberFormat="1" applyFont="1" applyBorder="1" applyAlignment="1">
      <alignment horizontal="right" vertical="center" wrapText="1" indent="2"/>
    </xf>
    <xf numFmtId="0" fontId="4" fillId="0" borderId="58" xfId="5" applyNumberFormat="1" applyFont="1" applyBorder="1" applyAlignment="1">
      <alignment horizontal="distributed" vertical="center" wrapText="1"/>
    </xf>
    <xf numFmtId="177" fontId="4" fillId="0" borderId="61" xfId="5" applyNumberFormat="1" applyFont="1" applyBorder="1" applyAlignment="1">
      <alignment horizontal="right" vertical="center" wrapText="1" indent="2"/>
    </xf>
    <xf numFmtId="177" fontId="4" fillId="0" borderId="0" xfId="5" applyNumberFormat="1" applyFont="1" applyAlignment="1">
      <alignment horizontal="right" vertical="center" wrapText="1" indent="2"/>
    </xf>
    <xf numFmtId="0" fontId="2" fillId="0" borderId="91" xfId="5" applyNumberFormat="1" applyFont="1" applyBorder="1" applyAlignment="1">
      <alignment horizontal="distributed" vertical="center" wrapText="1"/>
    </xf>
    <xf numFmtId="0" fontId="2" fillId="0" borderId="109" xfId="5" applyNumberFormat="1" applyFont="1" applyBorder="1" applyAlignment="1">
      <alignment horizontal="distributed" vertical="center" wrapText="1"/>
    </xf>
    <xf numFmtId="177" fontId="2" fillId="0" borderId="65" xfId="5" applyNumberFormat="1" applyFont="1" applyBorder="1" applyAlignment="1">
      <alignment horizontal="right" vertical="center" wrapText="1" indent="2"/>
    </xf>
    <xf numFmtId="177" fontId="2" fillId="0" borderId="0" xfId="5" applyNumberFormat="1" applyFont="1" applyAlignment="1">
      <alignment horizontal="right" vertical="center" wrapText="1" indent="2"/>
    </xf>
    <xf numFmtId="0" fontId="2" fillId="0" borderId="94" xfId="5" applyNumberFormat="1" applyFont="1" applyBorder="1" applyAlignment="1">
      <alignment horizontal="distributed" vertical="center" wrapText="1"/>
    </xf>
    <xf numFmtId="0" fontId="2" fillId="0" borderId="67" xfId="5" applyNumberFormat="1" applyFont="1" applyBorder="1" applyAlignment="1">
      <alignment horizontal="center" vertical="center" wrapText="1"/>
    </xf>
    <xf numFmtId="177" fontId="2" fillId="0" borderId="67" xfId="5" applyNumberFormat="1" applyFont="1" applyBorder="1" applyAlignment="1">
      <alignment horizontal="right" vertical="center" wrapText="1" indent="2"/>
    </xf>
    <xf numFmtId="0" fontId="2" fillId="0" borderId="67" xfId="5" applyNumberFormat="1" applyFont="1" applyBorder="1" applyAlignment="1">
      <alignment horizontal="distributed" vertical="center" wrapText="1"/>
    </xf>
    <xf numFmtId="177" fontId="2" fillId="0" borderId="68" xfId="5" applyNumberFormat="1" applyFont="1" applyBorder="1" applyAlignment="1">
      <alignment horizontal="right" vertical="center" wrapText="1" indent="2"/>
    </xf>
    <xf numFmtId="0" fontId="2" fillId="0" borderId="103" xfId="5" applyNumberFormat="1" applyFont="1" applyBorder="1" applyAlignment="1">
      <alignment horizontal="distributed" vertical="center" wrapText="1"/>
    </xf>
    <xf numFmtId="0" fontId="2" fillId="0" borderId="99" xfId="5" applyNumberFormat="1" applyFont="1" applyBorder="1" applyAlignment="1">
      <alignment horizontal="center" vertical="center" wrapText="1"/>
    </xf>
    <xf numFmtId="177" fontId="2" fillId="0" borderId="99" xfId="5" applyNumberFormat="1" applyFont="1" applyBorder="1" applyAlignment="1">
      <alignment horizontal="right" vertical="center" wrapText="1" indent="2"/>
    </xf>
    <xf numFmtId="0" fontId="2" fillId="0" borderId="99" xfId="5" applyNumberFormat="1" applyFont="1" applyBorder="1" applyAlignment="1">
      <alignment horizontal="distributed" vertical="center" wrapText="1"/>
    </xf>
    <xf numFmtId="177" fontId="2" fillId="0" borderId="79" xfId="5" applyNumberFormat="1" applyFont="1" applyBorder="1" applyAlignment="1">
      <alignment horizontal="right" vertical="center" wrapText="1" indent="2"/>
    </xf>
    <xf numFmtId="0" fontId="4" fillId="0" borderId="96" xfId="5" applyNumberFormat="1" applyFont="1" applyBorder="1" applyAlignment="1">
      <alignment horizontal="distributed" vertical="center" wrapText="1"/>
    </xf>
    <xf numFmtId="0" fontId="4" fillId="0" borderId="59" xfId="5" applyNumberFormat="1" applyFont="1" applyBorder="1" applyAlignment="1">
      <alignment horizontal="center" vertical="center" wrapText="1"/>
    </xf>
    <xf numFmtId="177" fontId="4" fillId="0" borderId="59" xfId="5" applyNumberFormat="1" applyFont="1" applyBorder="1" applyAlignment="1">
      <alignment horizontal="right" vertical="center" wrapText="1" indent="2"/>
    </xf>
    <xf numFmtId="0" fontId="4" fillId="0" borderId="110" xfId="5" applyNumberFormat="1" applyFont="1" applyBorder="1" applyAlignment="1">
      <alignment horizontal="center" vertical="center" wrapText="1"/>
    </xf>
    <xf numFmtId="0" fontId="2" fillId="0" borderId="58" xfId="5" applyNumberFormat="1" applyFont="1" applyBorder="1" applyAlignment="1">
      <alignment horizontal="distributed" vertical="center" wrapText="1"/>
    </xf>
    <xf numFmtId="177" fontId="2" fillId="0" borderId="61" xfId="5" applyNumberFormat="1" applyFont="1" applyBorder="1" applyAlignment="1">
      <alignment horizontal="right" vertical="center" wrapText="1" indent="2"/>
    </xf>
    <xf numFmtId="0" fontId="2" fillId="0" borderId="111" xfId="5" applyNumberFormat="1" applyFont="1" applyBorder="1" applyAlignment="1">
      <alignment vertical="center" wrapText="1"/>
    </xf>
    <xf numFmtId="0" fontId="2" fillId="0" borderId="112" xfId="5" applyNumberFormat="1" applyFont="1" applyBorder="1" applyAlignment="1">
      <alignment vertical="center" wrapText="1"/>
    </xf>
    <xf numFmtId="177" fontId="4" fillId="0" borderId="102" xfId="5" applyNumberFormat="1" applyFont="1" applyBorder="1" applyAlignment="1">
      <alignment horizontal="right" vertical="center" wrapText="1" indent="2"/>
    </xf>
    <xf numFmtId="0" fontId="19" fillId="0" borderId="0" xfId="5" applyNumberFormat="1" applyFont="1" applyAlignment="1">
      <alignment horizontal="left" vertical="center"/>
    </xf>
    <xf numFmtId="0" fontId="1" fillId="0" borderId="0" xfId="5" applyNumberFormat="1" applyFont="1" applyAlignment="1">
      <alignment horizontal="left" vertical="center"/>
    </xf>
    <xf numFmtId="177" fontId="1" fillId="0" borderId="0" xfId="5" applyNumberFormat="1" applyFont="1">
      <alignment vertical="center"/>
    </xf>
    <xf numFmtId="0" fontId="2" fillId="0" borderId="0" xfId="5" applyNumberFormat="1" applyFont="1" applyAlignment="1">
      <alignment horizontal="right" vertical="center" wrapText="1"/>
    </xf>
    <xf numFmtId="177" fontId="4" fillId="0" borderId="15" xfId="5" applyNumberFormat="1" applyFont="1" applyBorder="1" applyAlignment="1">
      <alignment vertical="center" wrapText="1"/>
    </xf>
    <xf numFmtId="188" fontId="4" fillId="0" borderId="15" xfId="5" applyNumberFormat="1" applyFont="1" applyBorder="1">
      <alignment vertical="center"/>
    </xf>
    <xf numFmtId="189" fontId="4" fillId="0" borderId="113" xfId="5" applyNumberFormat="1" applyFont="1" applyBorder="1">
      <alignment vertical="center"/>
    </xf>
    <xf numFmtId="177" fontId="4" fillId="0" borderId="12" xfId="5" applyNumberFormat="1" applyFont="1" applyBorder="1">
      <alignment vertical="center"/>
    </xf>
    <xf numFmtId="188" fontId="4" fillId="0" borderId="12" xfId="5" applyNumberFormat="1" applyFont="1" applyBorder="1">
      <alignment vertical="center"/>
    </xf>
    <xf numFmtId="177" fontId="4" fillId="0" borderId="12" xfId="5" applyNumberFormat="1" applyFont="1" applyBorder="1" applyAlignment="1">
      <alignment vertical="center" wrapText="1"/>
    </xf>
    <xf numFmtId="189" fontId="4" fillId="0" borderId="42" xfId="5" applyNumberFormat="1" applyFont="1" applyBorder="1">
      <alignment vertical="center"/>
    </xf>
    <xf numFmtId="0" fontId="1" fillId="0" borderId="17" xfId="5" applyNumberFormat="1" applyFont="1" applyBorder="1">
      <alignment vertical="center"/>
    </xf>
    <xf numFmtId="0" fontId="2" fillId="0" borderId="25" xfId="5" applyNumberFormat="1" applyFont="1" applyBorder="1" applyAlignment="1">
      <alignment horizontal="distributed" vertical="center" wrapText="1"/>
    </xf>
    <xf numFmtId="177" fontId="2" fillId="0" borderId="12" xfId="5" applyNumberFormat="1" applyFont="1" applyBorder="1">
      <alignment vertical="center"/>
    </xf>
    <xf numFmtId="188" fontId="2" fillId="0" borderId="12" xfId="5" applyNumberFormat="1" applyFont="1" applyBorder="1">
      <alignment vertical="center"/>
    </xf>
    <xf numFmtId="177" fontId="2" fillId="0" borderId="12" xfId="5" applyNumberFormat="1" applyFont="1" applyBorder="1" applyAlignment="1">
      <alignment vertical="center" wrapText="1"/>
    </xf>
    <xf numFmtId="189" fontId="2" fillId="0" borderId="42" xfId="5" applyNumberFormat="1" applyFont="1" applyBorder="1">
      <alignment vertical="center"/>
    </xf>
    <xf numFmtId="0" fontId="1" fillId="11" borderId="17" xfId="5" applyNumberFormat="1" applyFont="1" applyFill="1" applyBorder="1">
      <alignment vertical="center"/>
    </xf>
    <xf numFmtId="0" fontId="2" fillId="0" borderId="11" xfId="5" applyNumberFormat="1" applyFont="1" applyBorder="1" applyAlignment="1">
      <alignment horizontal="distributed" vertical="center" wrapText="1"/>
    </xf>
    <xf numFmtId="0" fontId="1" fillId="11" borderId="0" xfId="5" applyNumberFormat="1" applyFont="1" applyFill="1">
      <alignment vertical="center"/>
    </xf>
    <xf numFmtId="186" fontId="2" fillId="0" borderId="12" xfId="5" applyNumberFormat="1" applyFont="1" applyBorder="1" applyAlignment="1">
      <alignment horizontal="right" vertical="center"/>
    </xf>
    <xf numFmtId="186" fontId="2" fillId="0" borderId="12" xfId="5" applyNumberFormat="1" applyFont="1" applyBorder="1" applyAlignment="1">
      <alignment horizontal="left" vertical="center"/>
    </xf>
    <xf numFmtId="0" fontId="2" fillId="0" borderId="16" xfId="5" applyNumberFormat="1" applyFont="1" applyBorder="1" applyAlignment="1">
      <alignment horizontal="distributed" vertical="center" wrapText="1"/>
    </xf>
    <xf numFmtId="0" fontId="2" fillId="0" borderId="10" xfId="5" applyNumberFormat="1" applyFont="1" applyBorder="1" applyAlignment="1">
      <alignment horizontal="distributed" vertical="center" wrapText="1"/>
    </xf>
    <xf numFmtId="186" fontId="2" fillId="0" borderId="16" xfId="5" applyNumberFormat="1" applyFont="1" applyBorder="1" applyAlignment="1">
      <alignment horizontal="left" vertical="center"/>
    </xf>
    <xf numFmtId="186" fontId="2" fillId="0" borderId="15" xfId="5" applyNumberFormat="1" applyFont="1" applyBorder="1" applyAlignment="1">
      <alignment horizontal="center" vertical="center"/>
    </xf>
    <xf numFmtId="186" fontId="2" fillId="0" borderId="15" xfId="5" applyNumberFormat="1" applyFont="1" applyBorder="1" applyAlignment="1">
      <alignment horizontal="right" vertical="center"/>
    </xf>
    <xf numFmtId="0" fontId="2" fillId="0" borderId="11" xfId="5" applyNumberFormat="1" applyFont="1" applyBorder="1" applyAlignment="1">
      <alignment horizontal="center" vertical="center"/>
    </xf>
    <xf numFmtId="0" fontId="2" fillId="0" borderId="10" xfId="5" applyNumberFormat="1" applyFont="1" applyBorder="1" applyAlignment="1">
      <alignment horizontal="center" vertical="center"/>
    </xf>
    <xf numFmtId="186" fontId="2" fillId="0" borderId="16" xfId="5" applyNumberFormat="1" applyFont="1" applyBorder="1" applyAlignment="1">
      <alignment horizontal="right" vertical="center"/>
    </xf>
    <xf numFmtId="0" fontId="2" fillId="0" borderId="23" xfId="5" applyNumberFormat="1" applyFont="1" applyBorder="1" applyAlignment="1">
      <alignment horizontal="center" vertical="center"/>
    </xf>
    <xf numFmtId="186" fontId="2" fillId="0" borderId="18" xfId="5" applyNumberFormat="1" applyFont="1" applyBorder="1" applyAlignment="1">
      <alignment horizontal="right" vertical="center"/>
    </xf>
    <xf numFmtId="186" fontId="2" fillId="0" borderId="27" xfId="5" applyNumberFormat="1" applyFont="1" applyBorder="1" applyAlignment="1">
      <alignment horizontal="right" vertical="center"/>
    </xf>
    <xf numFmtId="0" fontId="2" fillId="0" borderId="23" xfId="5" applyNumberFormat="1" applyFont="1" applyBorder="1" applyAlignment="1">
      <alignment horizontal="distributed" vertical="center" wrapText="1"/>
    </xf>
    <xf numFmtId="186" fontId="2" fillId="0" borderId="9" xfId="5" applyNumberFormat="1" applyFont="1" applyBorder="1" applyAlignment="1">
      <alignment horizontal="right" vertical="center"/>
    </xf>
    <xf numFmtId="186" fontId="2" fillId="0" borderId="21" xfId="5" applyNumberFormat="1" applyFont="1" applyBorder="1" applyAlignment="1">
      <alignment horizontal="right" vertical="center"/>
    </xf>
    <xf numFmtId="0" fontId="2" fillId="0" borderId="10" xfId="5" applyNumberFormat="1" applyFont="1" applyBorder="1">
      <alignment vertical="center"/>
    </xf>
    <xf numFmtId="0" fontId="2" fillId="0" borderId="15" xfId="5" applyNumberFormat="1" applyFont="1" applyBorder="1">
      <alignment vertical="center"/>
    </xf>
    <xf numFmtId="0" fontId="2" fillId="0" borderId="114" xfId="5" applyNumberFormat="1" applyFont="1" applyBorder="1" applyAlignment="1">
      <alignment horizontal="distributed" vertical="center" wrapText="1"/>
    </xf>
    <xf numFmtId="0" fontId="2" fillId="0" borderId="15" xfId="5" applyNumberFormat="1" applyFont="1" applyBorder="1" applyAlignment="1">
      <alignment horizontal="distributed" vertical="center" wrapText="1"/>
    </xf>
    <xf numFmtId="0" fontId="2" fillId="9" borderId="25" xfId="5" applyNumberFormat="1" applyFont="1" applyFill="1" applyBorder="1" applyAlignment="1">
      <alignment horizontal="distributed" vertical="center" wrapText="1"/>
    </xf>
    <xf numFmtId="177" fontId="2" fillId="9" borderId="12" xfId="5" applyNumberFormat="1" applyFont="1" applyFill="1" applyBorder="1">
      <alignment vertical="center"/>
    </xf>
    <xf numFmtId="188" fontId="2" fillId="9" borderId="12" xfId="5" applyNumberFormat="1" applyFont="1" applyFill="1" applyBorder="1">
      <alignment vertical="center"/>
    </xf>
    <xf numFmtId="177" fontId="2" fillId="9" borderId="12" xfId="5" applyNumberFormat="1" applyFont="1" applyFill="1" applyBorder="1" applyAlignment="1">
      <alignment vertical="center" wrapText="1"/>
    </xf>
    <xf numFmtId="189" fontId="2" fillId="9" borderId="42" xfId="5" applyNumberFormat="1" applyFont="1" applyFill="1" applyBorder="1">
      <alignment vertical="center"/>
    </xf>
    <xf numFmtId="0" fontId="2" fillId="9" borderId="11" xfId="5" applyNumberFormat="1" applyFont="1" applyFill="1" applyBorder="1" applyAlignment="1">
      <alignment horizontal="distributed" vertical="center" wrapText="1"/>
    </xf>
    <xf numFmtId="0" fontId="2" fillId="9" borderId="16" xfId="5" applyNumberFormat="1" applyFont="1" applyFill="1" applyBorder="1" applyAlignment="1">
      <alignment horizontal="distributed" vertical="center" wrapText="1"/>
    </xf>
    <xf numFmtId="0" fontId="2" fillId="9" borderId="10" xfId="5" applyNumberFormat="1" applyFont="1" applyFill="1" applyBorder="1" applyAlignment="1">
      <alignment horizontal="distributed" vertical="center" wrapText="1"/>
    </xf>
    <xf numFmtId="186" fontId="2" fillId="9" borderId="16" xfId="5" applyNumberFormat="1" applyFont="1" applyFill="1" applyBorder="1" applyAlignment="1">
      <alignment horizontal="left" vertical="center"/>
    </xf>
    <xf numFmtId="186" fontId="2" fillId="9" borderId="12" xfId="5" applyNumberFormat="1" applyFont="1" applyFill="1" applyBorder="1" applyAlignment="1">
      <alignment horizontal="left" vertical="center"/>
    </xf>
    <xf numFmtId="186" fontId="2" fillId="9" borderId="10" xfId="5" applyNumberFormat="1" applyFont="1" applyFill="1" applyBorder="1" applyAlignment="1">
      <alignment horizontal="left" vertical="center"/>
    </xf>
    <xf numFmtId="186" fontId="2" fillId="9" borderId="15" xfId="5" applyNumberFormat="1" applyFont="1" applyFill="1" applyBorder="1" applyAlignment="1">
      <alignment horizontal="left" vertical="center"/>
    </xf>
    <xf numFmtId="0" fontId="2" fillId="9" borderId="15" xfId="5" applyNumberFormat="1" applyFont="1" applyFill="1" applyBorder="1" applyAlignment="1">
      <alignment horizontal="distributed" vertical="center" wrapText="1"/>
    </xf>
    <xf numFmtId="186" fontId="2" fillId="0" borderId="10" xfId="5" applyNumberFormat="1" applyFont="1" applyBorder="1" applyAlignment="1">
      <alignment horizontal="left" vertical="center"/>
    </xf>
    <xf numFmtId="186" fontId="2" fillId="0" borderId="15" xfId="5" applyNumberFormat="1" applyFont="1" applyBorder="1" applyAlignment="1">
      <alignment horizontal="left" vertical="center"/>
    </xf>
    <xf numFmtId="0" fontId="2" fillId="0" borderId="31" xfId="5" applyNumberFormat="1" applyFont="1" applyBorder="1" applyAlignment="1">
      <alignment horizontal="distributed" vertical="center" wrapText="1"/>
    </xf>
    <xf numFmtId="186" fontId="2" fillId="0" borderId="3" xfId="5" applyNumberFormat="1" applyFont="1" applyBorder="1" applyAlignment="1">
      <alignment horizontal="left" vertical="center"/>
    </xf>
    <xf numFmtId="177" fontId="2" fillId="0" borderId="3" xfId="5" applyNumberFormat="1" applyFont="1" applyBorder="1">
      <alignment vertical="center"/>
    </xf>
    <xf numFmtId="188" fontId="2" fillId="0" borderId="3" xfId="5" applyNumberFormat="1" applyFont="1" applyBorder="1">
      <alignment vertical="center"/>
    </xf>
    <xf numFmtId="177" fontId="2" fillId="0" borderId="3" xfId="5" applyNumberFormat="1" applyFont="1" applyBorder="1" applyAlignment="1">
      <alignment vertical="center" wrapText="1"/>
    </xf>
    <xf numFmtId="189" fontId="2" fillId="0" borderId="78" xfId="5" applyNumberFormat="1" applyFont="1" applyBorder="1">
      <alignment vertical="center"/>
    </xf>
    <xf numFmtId="0" fontId="2" fillId="0" borderId="28" xfId="5" applyNumberFormat="1" applyFont="1" applyBorder="1" applyAlignment="1">
      <alignment horizontal="distributed" vertical="center" wrapText="1"/>
    </xf>
    <xf numFmtId="177" fontId="2" fillId="0" borderId="40" xfId="5" applyNumberFormat="1" applyFont="1" applyBorder="1">
      <alignment vertical="center"/>
    </xf>
    <xf numFmtId="188" fontId="2" fillId="0" borderId="40" xfId="5" applyNumberFormat="1" applyFont="1" applyBorder="1">
      <alignment vertical="center"/>
    </xf>
    <xf numFmtId="177" fontId="2" fillId="0" borderId="40" xfId="5" applyNumberFormat="1" applyFont="1" applyBorder="1" applyAlignment="1">
      <alignment vertical="center" wrapText="1"/>
    </xf>
    <xf numFmtId="189" fontId="2" fillId="0" borderId="41" xfId="5" applyNumberFormat="1" applyFont="1" applyBorder="1">
      <alignment vertical="center"/>
    </xf>
    <xf numFmtId="0" fontId="1" fillId="0" borderId="17" xfId="5" applyNumberFormat="1" applyFont="1" applyBorder="1">
      <alignment vertical="center"/>
    </xf>
    <xf numFmtId="41" fontId="1" fillId="0" borderId="0" xfId="5" applyNumberFormat="1" applyFont="1">
      <alignment vertical="center"/>
    </xf>
    <xf numFmtId="0" fontId="2" fillId="0" borderId="3" xfId="5" applyNumberFormat="1" applyFont="1" applyBorder="1" applyAlignment="1">
      <alignment horizontal="distributed" vertical="center" wrapText="1"/>
    </xf>
    <xf numFmtId="186" fontId="2" fillId="0" borderId="43" xfId="5" applyNumberFormat="1" applyFont="1" applyBorder="1" applyAlignment="1">
      <alignment horizontal="left" vertical="center"/>
    </xf>
    <xf numFmtId="177" fontId="2" fillId="0" borderId="43" xfId="5" applyNumberFormat="1" applyFont="1" applyBorder="1">
      <alignment vertical="center"/>
    </xf>
    <xf numFmtId="188" fontId="2" fillId="0" borderId="43" xfId="5" applyNumberFormat="1" applyFont="1" applyBorder="1">
      <alignment vertical="center"/>
    </xf>
    <xf numFmtId="177" fontId="2" fillId="0" borderId="43" xfId="5" applyNumberFormat="1" applyFont="1" applyBorder="1" applyAlignment="1">
      <alignment vertical="center" wrapText="1"/>
    </xf>
    <xf numFmtId="189" fontId="2" fillId="0" borderId="44" xfId="5" applyNumberFormat="1" applyFont="1" applyBorder="1">
      <alignment vertical="center"/>
    </xf>
    <xf numFmtId="188" fontId="2" fillId="0" borderId="101" xfId="5" applyNumberFormat="1" applyFont="1" applyBorder="1">
      <alignment vertical="center"/>
    </xf>
    <xf numFmtId="177" fontId="2" fillId="0" borderId="101" xfId="5" applyNumberFormat="1" applyFont="1" applyBorder="1" applyAlignment="1">
      <alignment vertical="center" wrapText="1"/>
    </xf>
    <xf numFmtId="189" fontId="2" fillId="0" borderId="102" xfId="5" applyNumberFormat="1" applyFont="1" applyBorder="1">
      <alignment vertical="center"/>
    </xf>
    <xf numFmtId="0" fontId="1" fillId="11" borderId="0" xfId="5" applyNumberFormat="1" applyFont="1" applyFill="1">
      <alignment vertical="center"/>
    </xf>
    <xf numFmtId="0" fontId="2" fillId="0" borderId="0" xfId="5" applyNumberFormat="1" applyFont="1" applyAlignment="1">
      <alignment horizontal="right" vertical="center"/>
    </xf>
    <xf numFmtId="0" fontId="2" fillId="0" borderId="0" xfId="5" applyNumberFormat="1" applyFont="1" applyAlignment="1">
      <alignment horizontal="right" vertical="center"/>
    </xf>
    <xf numFmtId="0" fontId="4" fillId="2" borderId="0" xfId="5" applyNumberFormat="1" applyFont="1" applyFill="1" applyAlignment="1">
      <alignment horizontal="center" vertical="center" wrapText="1"/>
    </xf>
    <xf numFmtId="177" fontId="4" fillId="0" borderId="110" xfId="5" applyNumberFormat="1" applyFont="1" applyBorder="1" applyAlignment="1">
      <alignment vertical="center" wrapText="1"/>
    </xf>
    <xf numFmtId="188" fontId="4" fillId="0" borderId="110" xfId="5" applyNumberFormat="1" applyFont="1" applyBorder="1">
      <alignment vertical="center"/>
    </xf>
    <xf numFmtId="189" fontId="4" fillId="0" borderId="115" xfId="5" applyNumberFormat="1" applyFont="1" applyBorder="1">
      <alignment vertical="center"/>
    </xf>
    <xf numFmtId="189" fontId="4" fillId="0" borderId="0" xfId="5" applyNumberFormat="1" applyFont="1">
      <alignment vertical="center"/>
    </xf>
    <xf numFmtId="0" fontId="4" fillId="0" borderId="32" xfId="5" applyNumberFormat="1" applyFont="1" applyBorder="1">
      <alignment vertical="center"/>
    </xf>
    <xf numFmtId="0" fontId="4" fillId="0" borderId="20" xfId="5" applyNumberFormat="1" applyFont="1" applyBorder="1">
      <alignment vertical="center"/>
    </xf>
    <xf numFmtId="0" fontId="4" fillId="0" borderId="5" xfId="5" applyNumberFormat="1" applyFont="1" applyBorder="1">
      <alignment vertical="center"/>
    </xf>
    <xf numFmtId="0" fontId="4" fillId="0" borderId="9" xfId="5" applyNumberFormat="1" applyFont="1" applyBorder="1">
      <alignment vertical="center"/>
    </xf>
    <xf numFmtId="177" fontId="4" fillId="0" borderId="116" xfId="5" applyNumberFormat="1" applyFont="1" applyBorder="1">
      <alignment vertical="center"/>
    </xf>
    <xf numFmtId="189" fontId="4" fillId="11" borderId="0" xfId="5" applyNumberFormat="1" applyFont="1" applyFill="1" applyBorder="1">
      <alignment vertical="center"/>
    </xf>
    <xf numFmtId="0" fontId="4" fillId="0" borderId="23" xfId="5" applyNumberFormat="1" applyFont="1" applyBorder="1">
      <alignment vertical="center"/>
    </xf>
    <xf numFmtId="189" fontId="4" fillId="11" borderId="0" xfId="5" applyNumberFormat="1" applyFont="1" applyFill="1">
      <alignment vertical="center"/>
    </xf>
    <xf numFmtId="0" fontId="2" fillId="0" borderId="23" xfId="5" applyNumberFormat="1" applyFont="1" applyBorder="1">
      <alignment vertical="center"/>
    </xf>
    <xf numFmtId="0" fontId="2" fillId="0" borderId="26" xfId="5" applyNumberFormat="1" applyFont="1" applyBorder="1">
      <alignment vertical="center"/>
    </xf>
    <xf numFmtId="188" fontId="2" fillId="0" borderId="110" xfId="5" applyNumberFormat="1" applyFont="1" applyBorder="1">
      <alignment vertical="center"/>
    </xf>
    <xf numFmtId="177" fontId="2" fillId="0" borderId="110" xfId="5" applyNumberFormat="1" applyFont="1" applyBorder="1" applyAlignment="1">
      <alignment vertical="center" wrapText="1"/>
    </xf>
    <xf numFmtId="189" fontId="2" fillId="0" borderId="115" xfId="5" applyNumberFormat="1" applyFont="1" applyBorder="1">
      <alignment vertical="center"/>
    </xf>
    <xf numFmtId="186" fontId="2" fillId="0" borderId="15" xfId="5" applyNumberFormat="1" applyFont="1" applyBorder="1">
      <alignment vertical="center"/>
    </xf>
    <xf numFmtId="0" fontId="1" fillId="11" borderId="17" xfId="5" applyNumberFormat="1" applyFont="1" applyFill="1" applyBorder="1">
      <alignment vertical="center"/>
    </xf>
    <xf numFmtId="0" fontId="2" fillId="0" borderId="23" xfId="5" applyNumberFormat="1" applyFont="1" applyBorder="1" applyAlignment="1">
      <alignment horizontal="distributed" vertical="center" wrapText="1"/>
    </xf>
    <xf numFmtId="186" fontId="2" fillId="0" borderId="12" xfId="5" applyNumberFormat="1" applyFont="1" applyBorder="1">
      <alignment vertical="center"/>
    </xf>
    <xf numFmtId="189" fontId="2" fillId="11" borderId="0" xfId="5" applyNumberFormat="1" applyFont="1" applyFill="1" applyBorder="1">
      <alignment vertical="center"/>
    </xf>
    <xf numFmtId="0" fontId="1" fillId="11" borderId="0" xfId="5" applyNumberFormat="1" applyFont="1" applyFill="1">
      <alignment vertical="center"/>
    </xf>
    <xf numFmtId="0" fontId="1" fillId="0" borderId="17" xfId="5" applyNumberFormat="1" applyFont="1" applyBorder="1">
      <alignment vertical="center"/>
    </xf>
    <xf numFmtId="186" fontId="2" fillId="0" borderId="10" xfId="5" applyNumberFormat="1" applyFont="1" applyBorder="1">
      <alignment vertical="center"/>
    </xf>
    <xf numFmtId="186" fontId="2" fillId="0" borderId="16" xfId="5" applyNumberFormat="1" applyFont="1" applyBorder="1">
      <alignment vertical="center"/>
    </xf>
    <xf numFmtId="0" fontId="1" fillId="0" borderId="10" xfId="5" applyNumberFormat="1" applyFont="1" applyBorder="1">
      <alignment vertical="center"/>
    </xf>
    <xf numFmtId="186" fontId="2" fillId="0" borderId="9" xfId="5" applyNumberFormat="1" applyFont="1" applyBorder="1">
      <alignment vertical="center"/>
    </xf>
    <xf numFmtId="0" fontId="39" fillId="0" borderId="17" xfId="5" applyNumberFormat="1" applyFont="1" applyBorder="1">
      <alignment vertical="center"/>
    </xf>
    <xf numFmtId="186" fontId="2" fillId="0" borderId="10" xfId="5" applyNumberFormat="1" applyFont="1" applyBorder="1" applyAlignment="1">
      <alignment horizontal="right" vertical="center"/>
    </xf>
    <xf numFmtId="186" fontId="2" fillId="0" borderId="117" xfId="5" applyNumberFormat="1" applyFont="1" applyBorder="1" applyAlignment="1">
      <alignment horizontal="left" vertical="center"/>
    </xf>
    <xf numFmtId="189" fontId="40" fillId="11" borderId="0" xfId="5" applyNumberFormat="1" applyFont="1" applyFill="1" applyBorder="1">
      <alignment vertical="center"/>
    </xf>
    <xf numFmtId="0" fontId="39" fillId="11" borderId="0" xfId="5" applyNumberFormat="1" applyFont="1" applyFill="1">
      <alignment vertical="center"/>
    </xf>
    <xf numFmtId="0" fontId="39" fillId="0" borderId="0" xfId="5" applyNumberFormat="1" applyFont="1">
      <alignment vertical="center"/>
    </xf>
    <xf numFmtId="186" fontId="2" fillId="0" borderId="118" xfId="5" applyNumberFormat="1" applyFont="1" applyBorder="1" applyAlignment="1">
      <alignment horizontal="left" vertical="center"/>
    </xf>
    <xf numFmtId="0" fontId="41" fillId="9" borderId="17" xfId="5" applyNumberFormat="1" applyFont="1" applyFill="1" applyBorder="1">
      <alignment vertical="center"/>
    </xf>
    <xf numFmtId="186" fontId="2" fillId="0" borderId="10" xfId="5" applyNumberFormat="1" applyFont="1" applyBorder="1" applyAlignment="1">
      <alignment horizontal="right" vertical="center"/>
    </xf>
    <xf numFmtId="186" fontId="2" fillId="0" borderId="20" xfId="5" applyNumberFormat="1" applyFont="1" applyBorder="1" applyAlignment="1">
      <alignment horizontal="left" vertical="center"/>
    </xf>
    <xf numFmtId="188" fontId="2" fillId="0" borderId="63" xfId="5" applyNumberFormat="1" applyFont="1" applyBorder="1">
      <alignment vertical="center"/>
    </xf>
    <xf numFmtId="189" fontId="2" fillId="0" borderId="76" xfId="5" applyNumberFormat="1" applyFont="1" applyBorder="1">
      <alignment vertical="center"/>
    </xf>
    <xf numFmtId="189" fontId="42" fillId="9" borderId="0" xfId="5" applyNumberFormat="1" applyFont="1" applyFill="1" applyBorder="1">
      <alignment vertical="center"/>
    </xf>
    <xf numFmtId="0" fontId="41" fillId="9" borderId="0" xfId="5" applyNumberFormat="1" applyFont="1" applyFill="1">
      <alignment vertical="center"/>
    </xf>
    <xf numFmtId="0" fontId="2" fillId="0" borderId="12" xfId="5" applyNumberFormat="1" applyFont="1" applyBorder="1">
      <alignment vertical="center"/>
    </xf>
    <xf numFmtId="186" fontId="2" fillId="0" borderId="9" xfId="5" applyNumberFormat="1" applyFont="1" applyBorder="1" applyAlignment="1">
      <alignment horizontal="left" vertical="center"/>
    </xf>
    <xf numFmtId="0" fontId="2" fillId="0" borderId="9" xfId="5" applyNumberFormat="1" applyFont="1" applyBorder="1">
      <alignment vertical="center"/>
    </xf>
    <xf numFmtId="0" fontId="2" fillId="0" borderId="10" xfId="5" applyNumberFormat="1" applyFont="1" applyBorder="1">
      <alignment vertical="center"/>
    </xf>
    <xf numFmtId="0" fontId="2" fillId="0" borderId="0" xfId="5" applyNumberFormat="1" applyFont="1" applyBorder="1">
      <alignment vertical="center"/>
    </xf>
    <xf numFmtId="0" fontId="2" fillId="0" borderId="12" xfId="5" applyNumberFormat="1" applyFont="1" applyBorder="1">
      <alignment vertical="center"/>
    </xf>
    <xf numFmtId="0" fontId="39" fillId="9" borderId="17" xfId="5" applyNumberFormat="1" applyFont="1" applyFill="1" applyBorder="1">
      <alignment vertical="center"/>
    </xf>
    <xf numFmtId="0" fontId="2" fillId="0" borderId="6" xfId="5" applyNumberFormat="1" applyFont="1" applyBorder="1">
      <alignment vertical="center"/>
    </xf>
    <xf numFmtId="189" fontId="40" fillId="9" borderId="0" xfId="5" applyNumberFormat="1" applyFont="1" applyFill="1" applyBorder="1">
      <alignment vertical="center"/>
    </xf>
    <xf numFmtId="0" fontId="39" fillId="9" borderId="0" xfId="5" applyNumberFormat="1" applyFont="1" applyFill="1">
      <alignment vertical="center"/>
    </xf>
    <xf numFmtId="0" fontId="2" fillId="0" borderId="117" xfId="5" applyNumberFormat="1" applyFont="1" applyBorder="1">
      <alignment vertical="center"/>
    </xf>
    <xf numFmtId="0" fontId="2" fillId="0" borderId="93" xfId="5" applyNumberFormat="1" applyFont="1" applyBorder="1" applyAlignment="1">
      <alignment horizontal="distributed" vertical="center" wrapText="1"/>
    </xf>
    <xf numFmtId="186" fontId="2" fillId="0" borderId="3" xfId="5" applyNumberFormat="1" applyFont="1" applyBorder="1" applyAlignment="1">
      <alignment horizontal="right" vertical="center"/>
    </xf>
    <xf numFmtId="0" fontId="2" fillId="0" borderId="3" xfId="5" applyNumberFormat="1" applyFont="1" applyBorder="1">
      <alignment vertical="center"/>
    </xf>
    <xf numFmtId="0" fontId="2" fillId="0" borderId="119" xfId="5" applyNumberFormat="1" applyFont="1" applyBorder="1">
      <alignment vertical="center"/>
    </xf>
    <xf numFmtId="0" fontId="2" fillId="0" borderId="45" xfId="5" applyNumberFormat="1" applyFont="1" applyBorder="1" applyAlignment="1">
      <alignment horizontal="distributed" vertical="center" wrapText="1"/>
    </xf>
    <xf numFmtId="186" fontId="2" fillId="0" borderId="1" xfId="5" applyNumberFormat="1" applyFont="1" applyBorder="1" applyAlignment="1">
      <alignment horizontal="right" vertical="center"/>
    </xf>
    <xf numFmtId="0" fontId="2" fillId="0" borderId="40" xfId="5" applyNumberFormat="1" applyFont="1" applyBorder="1">
      <alignment vertical="center"/>
    </xf>
    <xf numFmtId="0" fontId="2" fillId="0" borderId="120" xfId="5" applyNumberFormat="1" applyFont="1" applyBorder="1">
      <alignment vertical="center"/>
    </xf>
    <xf numFmtId="188" fontId="2" fillId="0" borderId="121" xfId="5" applyNumberFormat="1" applyFont="1" applyBorder="1">
      <alignment vertical="center"/>
    </xf>
    <xf numFmtId="177" fontId="2" fillId="0" borderId="15" xfId="5" applyNumberFormat="1" applyFont="1" applyBorder="1">
      <alignment vertical="center"/>
    </xf>
    <xf numFmtId="188" fontId="2" fillId="0" borderId="81" xfId="5" applyNumberFormat="1" applyFont="1" applyBorder="1">
      <alignment vertical="center"/>
    </xf>
    <xf numFmtId="0" fontId="2" fillId="0" borderId="16" xfId="5" applyNumberFormat="1" applyFont="1" applyBorder="1">
      <alignment vertical="center"/>
    </xf>
    <xf numFmtId="0" fontId="2" fillId="0" borderId="17" xfId="5" applyNumberFormat="1" applyFont="1" applyBorder="1">
      <alignment vertical="center"/>
    </xf>
    <xf numFmtId="177" fontId="2" fillId="0" borderId="9" xfId="5" applyNumberFormat="1" applyFont="1" applyBorder="1">
      <alignment vertical="center"/>
    </xf>
    <xf numFmtId="0" fontId="2" fillId="0" borderId="20" xfId="5" applyNumberFormat="1" applyFont="1" applyBorder="1">
      <alignment vertical="center"/>
    </xf>
    <xf numFmtId="0" fontId="2" fillId="0" borderId="11" xfId="5" applyNumberFormat="1" applyFont="1" applyBorder="1" applyAlignment="1">
      <alignment horizontal="distributed" vertical="center" wrapText="1"/>
    </xf>
    <xf numFmtId="0" fontId="4" fillId="0" borderId="11" xfId="5" applyNumberFormat="1" applyFont="1" applyBorder="1">
      <alignment vertical="center"/>
    </xf>
    <xf numFmtId="0" fontId="4" fillId="0" borderId="8" xfId="5" applyNumberFormat="1" applyFont="1" applyBorder="1">
      <alignment vertical="center"/>
    </xf>
    <xf numFmtId="0" fontId="4" fillId="0" borderId="27" xfId="5" applyNumberFormat="1" applyFont="1" applyBorder="1">
      <alignment vertical="center"/>
    </xf>
    <xf numFmtId="0" fontId="1" fillId="9" borderId="0" xfId="5" applyNumberFormat="1" applyFont="1" applyFill="1">
      <alignment vertical="center"/>
    </xf>
    <xf numFmtId="0" fontId="2" fillId="0" borderId="23" xfId="5" applyNumberFormat="1" applyFont="1" applyBorder="1" applyAlignment="1">
      <alignment horizontal="distributed" vertical="center" wrapText="1"/>
    </xf>
    <xf numFmtId="189" fontId="2" fillId="9" borderId="0" xfId="5" applyNumberFormat="1" applyFont="1" applyFill="1">
      <alignment vertical="center"/>
    </xf>
    <xf numFmtId="0" fontId="4" fillId="0" borderId="15" xfId="5" applyNumberFormat="1" applyFont="1" applyBorder="1">
      <alignment vertical="center"/>
    </xf>
    <xf numFmtId="0" fontId="4" fillId="0" borderId="15" xfId="5" applyNumberFormat="1" applyFont="1" applyBorder="1">
      <alignment vertical="center"/>
    </xf>
    <xf numFmtId="0" fontId="2" fillId="0" borderId="23" xfId="5" applyNumberFormat="1" applyFont="1" applyBorder="1" applyAlignment="1">
      <alignment vertical="center" wrapText="1"/>
    </xf>
    <xf numFmtId="0" fontId="2" fillId="0" borderId="93" xfId="5" applyNumberFormat="1" applyFont="1" applyBorder="1" applyAlignment="1">
      <alignment vertical="center" wrapText="1"/>
    </xf>
    <xf numFmtId="0" fontId="2" fillId="0" borderId="43" xfId="5" applyNumberFormat="1" applyFont="1" applyBorder="1">
      <alignment vertical="center"/>
    </xf>
    <xf numFmtId="0" fontId="2" fillId="0" borderId="23" xfId="5" applyNumberFormat="1" applyFont="1" applyBorder="1" applyAlignment="1">
      <alignment vertical="center" wrapText="1"/>
    </xf>
    <xf numFmtId="0" fontId="4" fillId="0" borderId="12" xfId="5" applyNumberFormat="1" applyFont="1" applyBorder="1">
      <alignment vertical="center"/>
    </xf>
    <xf numFmtId="0" fontId="4" fillId="0" borderId="16" xfId="5" applyNumberFormat="1" applyFont="1" applyBorder="1">
      <alignment vertical="center"/>
    </xf>
    <xf numFmtId="0" fontId="1" fillId="12" borderId="17" xfId="5" applyNumberFormat="1" applyFont="1" applyFill="1" applyBorder="1">
      <alignment vertical="center"/>
    </xf>
    <xf numFmtId="0" fontId="1" fillId="12" borderId="0" xfId="5" applyNumberFormat="1" applyFont="1" applyFill="1">
      <alignment vertical="center"/>
    </xf>
    <xf numFmtId="0" fontId="2" fillId="0" borderId="43" xfId="5" applyNumberFormat="1" applyFont="1" applyBorder="1">
      <alignment vertical="center"/>
    </xf>
    <xf numFmtId="177" fontId="2" fillId="0" borderId="43" xfId="5" applyNumberFormat="1" applyFont="1" applyBorder="1">
      <alignment vertical="center"/>
    </xf>
    <xf numFmtId="0" fontId="32" fillId="0" borderId="0" xfId="5" applyNumberFormat="1" applyFont="1">
      <alignment vertical="center"/>
    </xf>
    <xf numFmtId="177" fontId="19" fillId="0" borderId="0" xfId="5" applyNumberFormat="1" applyFont="1">
      <alignment vertical="center"/>
    </xf>
    <xf numFmtId="0" fontId="26" fillId="0" borderId="0" xfId="5" applyNumberFormat="1" applyFont="1" applyAlignment="1">
      <alignment horizontal="left" vertical="center"/>
    </xf>
    <xf numFmtId="0" fontId="2" fillId="0" borderId="0" xfId="5" applyNumberFormat="1" applyFont="1">
      <alignment vertical="center"/>
    </xf>
    <xf numFmtId="177" fontId="4" fillId="2" borderId="99" xfId="5" applyNumberFormat="1" applyFont="1" applyFill="1" applyBorder="1" applyAlignment="1">
      <alignment horizontal="center" vertical="center" wrapText="1"/>
    </xf>
    <xf numFmtId="177" fontId="4" fillId="2" borderId="79" xfId="5" applyNumberFormat="1" applyFont="1" applyFill="1" applyBorder="1" applyAlignment="1">
      <alignment horizontal="center" vertical="center" wrapText="1"/>
    </xf>
    <xf numFmtId="177" fontId="2" fillId="0" borderId="58" xfId="5" applyNumberFormat="1" applyFont="1" applyBorder="1" applyAlignment="1">
      <alignment horizontal="right" vertical="center" wrapText="1" indent="1"/>
    </xf>
    <xf numFmtId="177" fontId="2" fillId="0" borderId="61" xfId="5" applyNumberFormat="1" applyFont="1" applyBorder="1" applyAlignment="1">
      <alignment horizontal="right" vertical="center" wrapText="1" indent="1"/>
    </xf>
    <xf numFmtId="0" fontId="2" fillId="0" borderId="56" xfId="5" applyNumberFormat="1" applyFont="1" applyBorder="1" applyAlignment="1">
      <alignment horizontal="distributed" vertical="center" wrapText="1"/>
    </xf>
    <xf numFmtId="177" fontId="2" fillId="0" borderId="65" xfId="5" applyNumberFormat="1" applyFont="1" applyBorder="1" applyAlignment="1">
      <alignment horizontal="right" vertical="center" wrapText="1" indent="1"/>
    </xf>
    <xf numFmtId="0" fontId="2" fillId="0" borderId="66" xfId="5" applyNumberFormat="1" applyFont="1" applyBorder="1" applyAlignment="1">
      <alignment horizontal="distributed" vertical="center" wrapText="1"/>
    </xf>
    <xf numFmtId="177" fontId="2" fillId="0" borderId="68" xfId="5" applyNumberFormat="1" applyFont="1" applyBorder="1" applyAlignment="1">
      <alignment horizontal="right" vertical="center" wrapText="1" indent="1"/>
    </xf>
    <xf numFmtId="0" fontId="2" fillId="0" borderId="10" xfId="5" applyNumberFormat="1" applyFont="1" applyBorder="1" applyAlignment="1">
      <alignment horizontal="distributed" vertical="center" wrapText="1"/>
    </xf>
    <xf numFmtId="0" fontId="2" fillId="0" borderId="94" xfId="5" applyNumberFormat="1" applyFont="1" applyBorder="1" applyAlignment="1">
      <alignment horizontal="center" vertical="center" wrapText="1"/>
    </xf>
    <xf numFmtId="0" fontId="2" fillId="0" borderId="67" xfId="5" applyNumberFormat="1" applyFont="1" applyBorder="1" applyAlignment="1">
      <alignment horizontal="distributed" vertical="center" wrapText="1" shrinkToFit="1"/>
    </xf>
    <xf numFmtId="177" fontId="2" fillId="0" borderId="99" xfId="5" applyNumberFormat="1" applyFont="1" applyBorder="1" applyAlignment="1">
      <alignment horizontal="right" vertical="center" wrapText="1" indent="1"/>
    </xf>
    <xf numFmtId="177" fontId="2" fillId="0" borderId="79" xfId="5" applyNumberFormat="1" applyFont="1" applyBorder="1" applyAlignment="1">
      <alignment horizontal="right" vertical="center" wrapText="1" indent="1"/>
    </xf>
    <xf numFmtId="0" fontId="2" fillId="0" borderId="101" xfId="5" applyNumberFormat="1" applyFont="1" applyBorder="1" applyAlignment="1">
      <alignment horizontal="distributed" vertical="center" wrapText="1"/>
    </xf>
    <xf numFmtId="177" fontId="2" fillId="0" borderId="101" xfId="5" applyNumberFormat="1" applyFont="1" applyBorder="1" applyAlignment="1">
      <alignment horizontal="right" vertical="center" wrapText="1" indent="1"/>
    </xf>
    <xf numFmtId="177" fontId="2" fillId="0" borderId="102" xfId="5" applyNumberFormat="1" applyFont="1" applyBorder="1" applyAlignment="1">
      <alignment horizontal="right" vertical="center" wrapText="1" indent="1"/>
    </xf>
    <xf numFmtId="177" fontId="1" fillId="0" borderId="0" xfId="5" applyNumberFormat="1" applyFont="1">
      <alignment vertical="center"/>
    </xf>
    <xf numFmtId="0" fontId="2" fillId="0" borderId="54" xfId="5" applyNumberFormat="1" applyFont="1" applyBorder="1" applyAlignment="1">
      <alignment horizontal="distributed" vertical="center" wrapText="1"/>
    </xf>
    <xf numFmtId="0" fontId="2" fillId="0" borderId="86" xfId="5" applyNumberFormat="1" applyFont="1" applyBorder="1" applyAlignment="1">
      <alignment horizontal="distributed" vertical="center" wrapText="1"/>
    </xf>
    <xf numFmtId="177" fontId="2" fillId="0" borderId="86" xfId="5" applyNumberFormat="1" applyFont="1" applyBorder="1" applyAlignment="1">
      <alignment horizontal="right" vertical="center" wrapText="1" indent="1"/>
    </xf>
    <xf numFmtId="177" fontId="2" fillId="0" borderId="87" xfId="5" applyNumberFormat="1" applyFont="1" applyBorder="1" applyAlignment="1">
      <alignment horizontal="right" vertical="center" wrapText="1" indent="1"/>
    </xf>
    <xf numFmtId="177" fontId="2" fillId="0" borderId="0" xfId="5" applyNumberFormat="1" applyFont="1" applyAlignment="1">
      <alignment horizontal="justify" vertical="center" wrapText="1"/>
    </xf>
    <xf numFmtId="178" fontId="2" fillId="0" borderId="67" xfId="5" applyNumberFormat="1" applyFont="1" applyBorder="1" applyAlignment="1">
      <alignment horizontal="right" vertical="center" wrapText="1" indent="1"/>
    </xf>
    <xf numFmtId="178" fontId="2" fillId="0" borderId="68" xfId="5" applyNumberFormat="1" applyFont="1" applyBorder="1" applyAlignment="1">
      <alignment horizontal="right" vertical="center" wrapText="1" indent="1"/>
    </xf>
    <xf numFmtId="178" fontId="2" fillId="0" borderId="86" xfId="5" applyNumberFormat="1" applyFont="1" applyBorder="1" applyAlignment="1">
      <alignment horizontal="right" vertical="center" wrapText="1" indent="1"/>
    </xf>
    <xf numFmtId="178" fontId="2" fillId="0" borderId="87" xfId="5" applyNumberFormat="1" applyFont="1" applyBorder="1" applyAlignment="1">
      <alignment horizontal="right" vertical="center" wrapText="1" indent="1"/>
    </xf>
    <xf numFmtId="177" fontId="4" fillId="2" borderId="99" xfId="5" applyNumberFormat="1" applyFont="1" applyFill="1" applyBorder="1" applyAlignment="1">
      <alignment horizontal="center" vertical="center" wrapText="1"/>
    </xf>
    <xf numFmtId="177" fontId="4" fillId="2" borderId="79" xfId="5" applyNumberFormat="1" applyFont="1" applyFill="1" applyBorder="1" applyAlignment="1">
      <alignment horizontal="center" vertical="center" wrapText="1"/>
    </xf>
    <xf numFmtId="177" fontId="2" fillId="0" borderId="58" xfId="5" applyNumberFormat="1" applyFont="1" applyBorder="1" applyAlignment="1">
      <alignment horizontal="right" vertical="center" wrapText="1" indent="1"/>
    </xf>
    <xf numFmtId="177" fontId="2" fillId="0" borderId="61" xfId="5" applyNumberFormat="1" applyFont="1" applyBorder="1" applyAlignment="1">
      <alignment horizontal="right" vertical="center" wrapText="1" indent="1"/>
    </xf>
    <xf numFmtId="0" fontId="2" fillId="0" borderId="58" xfId="5" applyNumberFormat="1" applyFont="1" applyBorder="1" applyAlignment="1">
      <alignment horizontal="distributed" vertical="center" wrapText="1"/>
    </xf>
    <xf numFmtId="177" fontId="2" fillId="0" borderId="58" xfId="5" applyNumberFormat="1" applyFont="1" applyBorder="1" applyAlignment="1">
      <alignment vertical="center" wrapText="1"/>
    </xf>
    <xf numFmtId="0" fontId="2" fillId="0" borderId="96" xfId="5" applyNumberFormat="1" applyFont="1" applyBorder="1" applyAlignment="1">
      <alignment horizontal="center" vertical="center" wrapText="1"/>
    </xf>
    <xf numFmtId="177" fontId="2" fillId="0" borderId="59" xfId="5" applyNumberFormat="1" applyFont="1" applyBorder="1" applyAlignment="1">
      <alignment vertical="center" wrapText="1"/>
    </xf>
    <xf numFmtId="177" fontId="2" fillId="0" borderId="59" xfId="5" applyNumberFormat="1" applyFont="1" applyBorder="1" applyAlignment="1">
      <alignment horizontal="right" vertical="center" wrapText="1" indent="1"/>
    </xf>
    <xf numFmtId="177" fontId="2" fillId="0" borderId="58" xfId="5" applyNumberFormat="1" applyFont="1" applyBorder="1" applyAlignment="1">
      <alignment horizontal="right" vertical="center" wrapText="1"/>
    </xf>
    <xf numFmtId="177" fontId="2" fillId="0" borderId="59" xfId="5" applyNumberFormat="1" applyFont="1" applyBorder="1" applyAlignment="1">
      <alignment horizontal="right" vertical="center" wrapText="1"/>
    </xf>
    <xf numFmtId="177" fontId="2" fillId="0" borderId="67" xfId="5" applyNumberFormat="1" applyFont="1" applyBorder="1" applyAlignment="1">
      <alignment horizontal="right" vertical="center" wrapText="1"/>
    </xf>
    <xf numFmtId="177" fontId="2" fillId="0" borderId="67" xfId="5" applyNumberFormat="1" applyFont="1" applyBorder="1" applyAlignment="1">
      <alignment vertical="center" wrapText="1"/>
    </xf>
    <xf numFmtId="0" fontId="2" fillId="0" borderId="96" xfId="5" applyNumberFormat="1" applyFont="1" applyBorder="1" applyAlignment="1">
      <alignment horizontal="center" vertical="center" wrapText="1"/>
    </xf>
    <xf numFmtId="0" fontId="2" fillId="0" borderId="122" xfId="5" applyNumberFormat="1" applyFont="1" applyBorder="1" applyAlignment="1">
      <alignment horizontal="center" vertical="center" wrapText="1"/>
    </xf>
    <xf numFmtId="0" fontId="2" fillId="0" borderId="86" xfId="5" applyNumberFormat="1" applyFont="1" applyBorder="1" applyAlignment="1">
      <alignment horizontal="distributed" vertical="center" wrapText="1"/>
    </xf>
    <xf numFmtId="0" fontId="2" fillId="0" borderId="54" xfId="5" applyNumberFormat="1" applyFont="1" applyBorder="1" applyAlignment="1">
      <alignment horizontal="distributed" vertical="center" wrapText="1"/>
    </xf>
    <xf numFmtId="0" fontId="2" fillId="0" borderId="58" xfId="5" applyNumberFormat="1" applyFont="1" applyBorder="1" applyAlignment="1">
      <alignment horizontal="center" vertical="center" wrapText="1"/>
    </xf>
    <xf numFmtId="177" fontId="2" fillId="0" borderId="16" xfId="5" applyNumberFormat="1" applyFont="1" applyBorder="1" applyAlignment="1">
      <alignment horizontal="right" vertical="center" wrapText="1" indent="1"/>
    </xf>
    <xf numFmtId="177" fontId="2" fillId="0" borderId="92" xfId="5" applyNumberFormat="1" applyFont="1" applyBorder="1" applyAlignment="1">
      <alignment horizontal="right" vertical="center" wrapText="1" indent="1"/>
    </xf>
    <xf numFmtId="177" fontId="2" fillId="0" borderId="10" xfId="5" applyNumberFormat="1" applyFont="1" applyBorder="1" applyAlignment="1">
      <alignment horizontal="right" vertical="center" wrapText="1" indent="1"/>
    </xf>
    <xf numFmtId="177" fontId="2" fillId="0" borderId="89" xfId="5" applyNumberFormat="1" applyFont="1" applyBorder="1" applyAlignment="1">
      <alignment horizontal="right" vertical="center" wrapText="1" indent="1"/>
    </xf>
    <xf numFmtId="178" fontId="2" fillId="0" borderId="86" xfId="5" applyNumberFormat="1" applyFont="1" applyBorder="1" applyAlignment="1">
      <alignment horizontal="right" vertical="center" wrapText="1" indent="1"/>
    </xf>
    <xf numFmtId="177" fontId="2" fillId="0" borderId="3" xfId="5" applyNumberFormat="1" applyFont="1" applyBorder="1" applyAlignment="1">
      <alignment horizontal="right" vertical="center" wrapText="1" indent="1"/>
    </xf>
    <xf numFmtId="177" fontId="2" fillId="0" borderId="13" xfId="5" applyNumberFormat="1" applyFont="1" applyBorder="1" applyAlignment="1">
      <alignment horizontal="right" vertical="center" wrapText="1" indent="1"/>
    </xf>
    <xf numFmtId="0" fontId="19" fillId="0" borderId="0" xfId="5" applyNumberFormat="1" applyFont="1">
      <alignment vertical="center"/>
    </xf>
    <xf numFmtId="0" fontId="19" fillId="0" borderId="2" xfId="5" applyNumberFormat="1" applyFont="1" applyBorder="1">
      <alignment vertical="center"/>
    </xf>
    <xf numFmtId="3" fontId="1" fillId="0" borderId="0" xfId="5" applyNumberFormat="1" applyFont="1">
      <alignment vertical="center"/>
    </xf>
    <xf numFmtId="0" fontId="4" fillId="0" borderId="25" xfId="2" applyNumberFormat="1" applyFont="1" applyBorder="1" applyAlignment="1">
      <alignment horizontal="center" vertical="center" wrapText="1"/>
    </xf>
    <xf numFmtId="181" fontId="2" fillId="0" borderId="12" xfId="2" applyNumberFormat="1" applyFont="1" applyBorder="1" applyAlignment="1">
      <alignment horizontal="center" vertical="center" wrapText="1"/>
    </xf>
    <xf numFmtId="177" fontId="2" fillId="0" borderId="12" xfId="2" applyNumberFormat="1" applyFont="1" applyBorder="1" applyAlignment="1">
      <alignment horizontal="right" vertical="center" wrapText="1"/>
    </xf>
    <xf numFmtId="177" fontId="2" fillId="0" borderId="42" xfId="2" applyNumberFormat="1" applyFont="1" applyBorder="1" applyAlignment="1">
      <alignment horizontal="right" vertical="center" wrapText="1"/>
    </xf>
    <xf numFmtId="0" fontId="2" fillId="0" borderId="14" xfId="2" applyNumberFormat="1" applyFont="1" applyBorder="1" applyAlignment="1">
      <alignment horizontal="center" vertical="center" wrapText="1"/>
    </xf>
    <xf numFmtId="0" fontId="2" fillId="0" borderId="12" xfId="2" applyNumberFormat="1" applyFont="1" applyBorder="1" applyAlignment="1">
      <alignment horizontal="center" vertical="center" wrapText="1"/>
    </xf>
    <xf numFmtId="177" fontId="2" fillId="0" borderId="12" xfId="2" applyNumberFormat="1" applyFont="1" applyBorder="1" applyAlignment="1">
      <alignment horizontal="right" vertical="center" wrapText="1"/>
    </xf>
    <xf numFmtId="177" fontId="2" fillId="0" borderId="42" xfId="2" applyNumberFormat="1" applyFont="1" applyBorder="1" applyAlignment="1">
      <alignment horizontal="right" vertical="center" wrapText="1"/>
    </xf>
    <xf numFmtId="0" fontId="2" fillId="0" borderId="31" xfId="2" applyNumberFormat="1" applyFont="1" applyBorder="1" applyAlignment="1">
      <alignment horizontal="center" vertical="center" wrapText="1"/>
    </xf>
    <xf numFmtId="0" fontId="2" fillId="0" borderId="3" xfId="2" applyNumberFormat="1" applyFont="1" applyBorder="1" applyAlignment="1">
      <alignment horizontal="center" vertical="center" wrapText="1"/>
    </xf>
    <xf numFmtId="177" fontId="2" fillId="0" borderId="43" xfId="2" applyNumberFormat="1" applyFont="1" applyBorder="1" applyAlignment="1">
      <alignment horizontal="right" vertical="center" wrapText="1"/>
    </xf>
    <xf numFmtId="177" fontId="2" fillId="0" borderId="44" xfId="2" applyNumberFormat="1" applyFont="1" applyBorder="1" applyAlignment="1">
      <alignment horizontal="right" vertical="center" wrapText="1"/>
    </xf>
    <xf numFmtId="0" fontId="36" fillId="0" borderId="0" xfId="5" applyNumberFormat="1" applyFont="1">
      <alignment vertical="center"/>
    </xf>
    <xf numFmtId="0" fontId="10" fillId="0" borderId="4" xfId="3" applyNumberFormat="1" applyFont="1" applyBorder="1">
      <alignment vertical="center"/>
    </xf>
    <xf numFmtId="178" fontId="7" fillId="0" borderId="4" xfId="7" applyNumberFormat="1" applyFont="1" applyBorder="1" applyAlignment="1">
      <alignment horizontal="left" vertical="center" shrinkToFit="1"/>
    </xf>
    <xf numFmtId="176" fontId="3" fillId="0" borderId="4" xfId="3" applyNumberFormat="1" applyFont="1" applyBorder="1" applyAlignment="1">
      <alignment vertical="center" shrinkToFit="1"/>
    </xf>
    <xf numFmtId="176" fontId="3" fillId="0" borderId="4" xfId="3" applyNumberFormat="1" applyFont="1" applyBorder="1">
      <alignment vertical="center"/>
    </xf>
    <xf numFmtId="41" fontId="3" fillId="0" borderId="4" xfId="3" applyNumberFormat="1" applyFont="1" applyBorder="1" applyAlignment="1">
      <alignment vertical="center" shrinkToFit="1"/>
    </xf>
    <xf numFmtId="178" fontId="6" fillId="0" borderId="4" xfId="3" applyNumberFormat="1" applyFont="1" applyBorder="1" applyAlignment="1">
      <alignment vertical="center" shrinkToFit="1"/>
    </xf>
    <xf numFmtId="183" fontId="5" fillId="3" borderId="3" xfId="0" applyNumberFormat="1" applyFont="1" applyFill="1" applyBorder="1" applyAlignment="1">
      <alignment horizontal="right" vertical="center" shrinkToFit="1"/>
    </xf>
    <xf numFmtId="177" fontId="2" fillId="0" borderId="16" xfId="5" applyNumberFormat="1" applyFont="1" applyBorder="1">
      <alignment vertical="center"/>
    </xf>
    <xf numFmtId="188" fontId="2" fillId="0" borderId="59" xfId="5" applyNumberFormat="1" applyFont="1" applyBorder="1">
      <alignment vertical="center"/>
    </xf>
    <xf numFmtId="189" fontId="2" fillId="0" borderId="65" xfId="5" applyNumberFormat="1" applyFont="1" applyBorder="1">
      <alignment vertical="center"/>
    </xf>
    <xf numFmtId="189" fontId="2" fillId="11" borderId="0" xfId="5" applyNumberFormat="1" applyFont="1" applyFill="1">
      <alignment vertical="center"/>
    </xf>
    <xf numFmtId="177" fontId="2" fillId="11" borderId="12" xfId="5" applyNumberFormat="1" applyFont="1" applyFill="1" applyBorder="1" applyAlignment="1">
      <alignment vertical="center" wrapText="1"/>
    </xf>
    <xf numFmtId="177" fontId="2" fillId="11" borderId="110" xfId="5" applyNumberFormat="1" applyFont="1" applyFill="1" applyBorder="1" applyAlignment="1">
      <alignment vertical="center" wrapText="1"/>
    </xf>
    <xf numFmtId="177" fontId="2" fillId="11" borderId="63" xfId="5" applyNumberFormat="1" applyFont="1" applyFill="1" applyBorder="1" applyAlignment="1">
      <alignment vertical="center" wrapText="1"/>
    </xf>
    <xf numFmtId="177" fontId="2" fillId="11" borderId="101" xfId="5" applyNumberFormat="1" applyFont="1" applyFill="1" applyBorder="1" applyAlignment="1">
      <alignment vertical="center" wrapText="1"/>
    </xf>
    <xf numFmtId="177" fontId="2" fillId="11" borderId="121" xfId="5" applyNumberFormat="1" applyFont="1" applyFill="1" applyBorder="1" applyAlignment="1">
      <alignment vertical="center" wrapText="1"/>
    </xf>
    <xf numFmtId="177" fontId="2" fillId="11" borderId="81" xfId="5" applyNumberFormat="1" applyFont="1" applyFill="1" applyBorder="1" applyAlignment="1">
      <alignment vertical="center" wrapText="1"/>
    </xf>
    <xf numFmtId="177" fontId="4" fillId="11" borderId="110" xfId="5" applyNumberFormat="1" applyFont="1" applyFill="1" applyBorder="1" applyAlignment="1">
      <alignment vertical="center" wrapText="1"/>
    </xf>
    <xf numFmtId="177" fontId="2" fillId="11" borderId="59" xfId="5" applyNumberFormat="1" applyFont="1" applyFill="1" applyBorder="1" applyAlignment="1">
      <alignment vertical="center" wrapText="1"/>
    </xf>
    <xf numFmtId="178" fontId="2" fillId="0" borderId="12" xfId="0" applyNumberFormat="1" applyFont="1" applyBorder="1" applyAlignment="1">
      <alignment horizontal="center" vertical="center" wrapText="1"/>
    </xf>
    <xf numFmtId="179" fontId="2" fillId="0" borderId="12" xfId="0" applyNumberFormat="1" applyFont="1" applyBorder="1" applyAlignment="1">
      <alignment horizontal="center" vertical="center" wrapText="1"/>
    </xf>
    <xf numFmtId="177" fontId="2" fillId="0" borderId="78" xfId="5" applyNumberFormat="1" applyFont="1" applyBorder="1" applyAlignment="1">
      <alignment horizontal="center" vertical="center" wrapText="1"/>
    </xf>
    <xf numFmtId="177" fontId="2" fillId="0" borderId="15" xfId="5" applyNumberFormat="1" applyFont="1" applyBorder="1" applyAlignment="1">
      <alignment horizontal="right" vertical="center"/>
    </xf>
    <xf numFmtId="177" fontId="2" fillId="0" borderId="8" xfId="5" applyNumberFormat="1" applyFont="1" applyBorder="1" applyAlignment="1">
      <alignment horizontal="right" vertical="center"/>
    </xf>
    <xf numFmtId="177" fontId="2" fillId="0" borderId="82" xfId="5" applyNumberFormat="1" applyFont="1" applyBorder="1" applyAlignment="1">
      <alignment horizontal="right" vertical="center" wrapText="1"/>
    </xf>
    <xf numFmtId="0" fontId="4" fillId="0" borderId="29" xfId="5" applyNumberFormat="1" applyFont="1" applyBorder="1" applyAlignment="1">
      <alignment vertical="center" wrapText="1"/>
    </xf>
    <xf numFmtId="0" fontId="2" fillId="0" borderId="29" xfId="5" applyNumberFormat="1" applyFont="1" applyBorder="1" applyAlignment="1">
      <alignment horizontal="distributed" vertical="center" wrapText="1"/>
    </xf>
    <xf numFmtId="178" fontId="2" fillId="11" borderId="29" xfId="5" applyNumberFormat="1" applyFont="1" applyFill="1" applyBorder="1" applyAlignment="1">
      <alignment horizontal="right" vertical="center"/>
    </xf>
    <xf numFmtId="177" fontId="2" fillId="0" borderId="29" xfId="5" applyNumberFormat="1" applyFont="1" applyBorder="1" applyAlignment="1">
      <alignment horizontal="right" vertical="center"/>
    </xf>
    <xf numFmtId="178" fontId="2" fillId="0" borderId="29" xfId="5" applyNumberFormat="1" applyFont="1" applyBorder="1" applyAlignment="1">
      <alignment horizontal="right" vertical="center"/>
    </xf>
    <xf numFmtId="0" fontId="2" fillId="0" borderId="67" xfId="5" applyNumberFormat="1" applyFont="1" applyBorder="1" applyAlignment="1">
      <alignment vertical="center" shrinkToFit="1"/>
    </xf>
    <xf numFmtId="177" fontId="2" fillId="0" borderId="54" xfId="5" applyNumberFormat="1" applyFont="1" applyBorder="1" applyAlignment="1">
      <alignment horizontal="right" vertical="center" wrapText="1" indent="1"/>
    </xf>
    <xf numFmtId="177" fontId="2" fillId="0" borderId="55" xfId="5" applyNumberFormat="1" applyFont="1" applyBorder="1" applyAlignment="1">
      <alignment horizontal="right" vertical="center" wrapText="1" indent="1"/>
    </xf>
    <xf numFmtId="177" fontId="2" fillId="0" borderId="123" xfId="5" applyNumberFormat="1" applyFont="1" applyBorder="1" applyAlignment="1">
      <alignment horizontal="right" vertical="center" wrapText="1" indent="1"/>
    </xf>
    <xf numFmtId="177" fontId="2" fillId="0" borderId="54" xfId="5" applyNumberFormat="1" applyFont="1" applyBorder="1" applyAlignment="1">
      <alignment horizontal="right" vertical="center" wrapText="1" indent="1"/>
    </xf>
    <xf numFmtId="177" fontId="2" fillId="0" borderId="55" xfId="5" applyNumberFormat="1" applyFont="1" applyBorder="1" applyAlignment="1">
      <alignment horizontal="right" vertical="center" wrapText="1" indent="1"/>
    </xf>
    <xf numFmtId="177" fontId="2" fillId="0" borderId="86" xfId="5" applyNumberFormat="1" applyFont="1" applyBorder="1" applyAlignment="1">
      <alignment horizontal="right" vertical="center" wrapText="1" indent="1"/>
    </xf>
    <xf numFmtId="177" fontId="2" fillId="0" borderId="99" xfId="5" applyNumberFormat="1" applyFont="1" applyBorder="1" applyAlignment="1">
      <alignment horizontal="right" vertical="center" indent="1"/>
    </xf>
    <xf numFmtId="177" fontId="2" fillId="0" borderId="79" xfId="5" applyNumberFormat="1" applyFont="1" applyBorder="1" applyAlignment="1">
      <alignment horizontal="right" vertical="center" indent="1"/>
    </xf>
    <xf numFmtId="177" fontId="2" fillId="0" borderId="59" xfId="5" applyNumberFormat="1" applyFont="1" applyBorder="1" applyAlignment="1">
      <alignment horizontal="right" vertical="center" indent="1"/>
    </xf>
    <xf numFmtId="177" fontId="2" fillId="0" borderId="65" xfId="5" applyNumberFormat="1" applyFont="1" applyBorder="1" applyAlignment="1">
      <alignment horizontal="right" vertical="center" indent="1"/>
    </xf>
    <xf numFmtId="177" fontId="2" fillId="0" borderId="87" xfId="5" applyNumberFormat="1" applyFont="1" applyBorder="1" applyAlignment="1">
      <alignment horizontal="right" vertical="center" indent="1"/>
    </xf>
    <xf numFmtId="177" fontId="1" fillId="0" borderId="0" xfId="1" applyNumberFormat="1" applyFont="1">
      <alignment vertical="center"/>
    </xf>
    <xf numFmtId="49" fontId="2" fillId="0" borderId="29" xfId="5" applyNumberFormat="1" applyFont="1" applyBorder="1" applyAlignment="1">
      <alignment vertical="center" shrinkToFit="1"/>
    </xf>
    <xf numFmtId="49" fontId="2" fillId="0" borderId="0" xfId="5" applyNumberFormat="1" applyFont="1" applyAlignment="1">
      <alignment vertical="center" shrinkToFit="1"/>
    </xf>
    <xf numFmtId="0" fontId="19" fillId="0" borderId="29" xfId="5" applyNumberFormat="1" applyFont="1" applyBorder="1" applyAlignment="1">
      <alignment vertical="center" wrapText="1"/>
    </xf>
    <xf numFmtId="177" fontId="4" fillId="0" borderId="67" xfId="5" applyNumberFormat="1" applyFont="1" applyBorder="1" applyAlignment="1">
      <alignment horizontal="right" vertical="center" wrapText="1"/>
    </xf>
    <xf numFmtId="177" fontId="4" fillId="2" borderId="12" xfId="5" applyNumberFormat="1" applyFont="1" applyFill="1" applyBorder="1" applyAlignment="1">
      <alignment horizontal="right" vertical="center" wrapText="1"/>
    </xf>
    <xf numFmtId="0" fontId="4" fillId="2" borderId="40" xfId="5" applyNumberFormat="1" applyFont="1" applyFill="1" applyBorder="1" applyAlignment="1">
      <alignment horizontal="center" vertical="center" wrapText="1"/>
    </xf>
    <xf numFmtId="0" fontId="4" fillId="2" borderId="40" xfId="5" applyNumberFormat="1" applyFont="1" applyFill="1" applyBorder="1" applyAlignment="1">
      <alignment horizontal="center" vertical="center" shrinkToFit="1"/>
    </xf>
    <xf numFmtId="177" fontId="4" fillId="0" borderId="43" xfId="5" applyNumberFormat="1" applyFont="1" applyBorder="1" applyAlignment="1">
      <alignment horizontal="right" vertical="center" wrapText="1"/>
    </xf>
    <xf numFmtId="177" fontId="2" fillId="0" borderId="2" xfId="5" applyNumberFormat="1" applyFont="1" applyBorder="1" applyAlignment="1">
      <alignment horizontal="right" vertical="center"/>
    </xf>
    <xf numFmtId="177" fontId="4" fillId="0" borderId="124" xfId="5" applyNumberFormat="1" applyFont="1" applyBorder="1" applyAlignment="1">
      <alignment horizontal="right" vertical="center" wrapText="1"/>
    </xf>
    <xf numFmtId="177" fontId="4" fillId="0" borderId="97" xfId="5" applyNumberFormat="1" applyFont="1" applyBorder="1" applyAlignment="1">
      <alignment horizontal="right" vertical="center" wrapText="1"/>
    </xf>
    <xf numFmtId="177" fontId="4" fillId="0" borderId="125" xfId="5" applyNumberFormat="1" applyFont="1" applyBorder="1" applyAlignment="1">
      <alignment horizontal="right" vertical="center" wrapText="1"/>
    </xf>
    <xf numFmtId="0" fontId="2" fillId="0" borderId="6" xfId="3" applyNumberFormat="1" applyFont="1" applyBorder="1">
      <alignment vertical="center"/>
    </xf>
    <xf numFmtId="0" fontId="2" fillId="0" borderId="17" xfId="6" applyNumberFormat="1" applyFont="1" applyBorder="1" applyAlignment="1">
      <alignment vertical="center" shrinkToFit="1"/>
    </xf>
    <xf numFmtId="0" fontId="2" fillId="0" borderId="17" xfId="3" applyNumberFormat="1" applyFont="1" applyBorder="1">
      <alignment vertical="center"/>
    </xf>
    <xf numFmtId="0" fontId="3" fillId="0" borderId="17" xfId="2" applyNumberFormat="1" applyFont="1" applyBorder="1">
      <alignment vertical="center"/>
    </xf>
    <xf numFmtId="0" fontId="1" fillId="0" borderId="23" xfId="0" applyNumberFormat="1" applyFont="1" applyBorder="1">
      <alignment vertical="center"/>
    </xf>
    <xf numFmtId="0" fontId="4" fillId="0" borderId="10" xfId="0" applyNumberFormat="1" applyFont="1" applyBorder="1">
      <alignment vertical="center"/>
    </xf>
    <xf numFmtId="0" fontId="6" fillId="11" borderId="0" xfId="8" applyNumberFormat="1" applyFont="1" applyFill="1">
      <alignment vertical="center"/>
    </xf>
    <xf numFmtId="0" fontId="3" fillId="0" borderId="24" xfId="0" applyNumberFormat="1" applyFont="1" applyBorder="1">
      <alignment vertical="center"/>
    </xf>
    <xf numFmtId="0" fontId="2" fillId="0" borderId="19" xfId="3" applyNumberFormat="1" applyFont="1" applyBorder="1">
      <alignment vertical="center"/>
    </xf>
    <xf numFmtId="0" fontId="3" fillId="11" borderId="9" xfId="3" applyNumberFormat="1" applyFont="1" applyFill="1" applyBorder="1">
      <alignment vertical="center"/>
    </xf>
    <xf numFmtId="0" fontId="3" fillId="11" borderId="10" xfId="3" applyNumberFormat="1" applyFont="1" applyFill="1" applyBorder="1">
      <alignment vertical="center"/>
    </xf>
    <xf numFmtId="0" fontId="2" fillId="9" borderId="0" xfId="3" applyNumberFormat="1" applyFont="1" applyFill="1">
      <alignment vertical="center"/>
    </xf>
    <xf numFmtId="0" fontId="3" fillId="11" borderId="12" xfId="3" applyNumberFormat="1" applyFont="1" applyFill="1" applyBorder="1">
      <alignment vertical="center"/>
    </xf>
    <xf numFmtId="0" fontId="3" fillId="11" borderId="16" xfId="3" applyNumberFormat="1" applyFont="1" applyFill="1" applyBorder="1">
      <alignment vertical="center"/>
    </xf>
    <xf numFmtId="177" fontId="3" fillId="11" borderId="16" xfId="3" applyNumberFormat="1" applyFont="1" applyFill="1" applyBorder="1">
      <alignment vertical="center"/>
    </xf>
    <xf numFmtId="0" fontId="3" fillId="11" borderId="23" xfId="3" applyNumberFormat="1" applyFont="1" applyFill="1" applyBorder="1">
      <alignment vertical="center"/>
    </xf>
    <xf numFmtId="177" fontId="3" fillId="11" borderId="16" xfId="0" applyNumberFormat="1" applyFont="1" applyFill="1" applyBorder="1" applyAlignment="1">
      <alignment horizontal="right" vertical="center"/>
    </xf>
    <xf numFmtId="0" fontId="3" fillId="11" borderId="21" xfId="0" applyNumberFormat="1" applyFont="1" applyFill="1" applyBorder="1">
      <alignment vertical="center"/>
    </xf>
    <xf numFmtId="0" fontId="3" fillId="11" borderId="27" xfId="0" applyNumberFormat="1" applyFont="1" applyFill="1" applyBorder="1">
      <alignment vertical="center"/>
    </xf>
    <xf numFmtId="177" fontId="3" fillId="11" borderId="17" xfId="0" applyNumberFormat="1" applyFont="1" applyFill="1" applyBorder="1">
      <alignment vertical="center"/>
    </xf>
    <xf numFmtId="0" fontId="5" fillId="11" borderId="17" xfId="0" applyNumberFormat="1" applyFont="1" applyFill="1" applyBorder="1">
      <alignment vertical="center"/>
    </xf>
    <xf numFmtId="0" fontId="2" fillId="11" borderId="10" xfId="3" applyNumberFormat="1" applyFont="1" applyFill="1" applyBorder="1">
      <alignment vertical="center"/>
    </xf>
    <xf numFmtId="0" fontId="43" fillId="11" borderId="17" xfId="3" applyNumberFormat="1" applyFont="1" applyFill="1" applyBorder="1">
      <alignment vertical="center"/>
    </xf>
    <xf numFmtId="0" fontId="44" fillId="11" borderId="10" xfId="3" applyNumberFormat="1" applyFont="1" applyFill="1" applyBorder="1">
      <alignment vertical="center"/>
    </xf>
    <xf numFmtId="177" fontId="43" fillId="11" borderId="10" xfId="3" applyNumberFormat="1" applyFont="1" applyFill="1" applyBorder="1">
      <alignment vertical="center"/>
    </xf>
    <xf numFmtId="179" fontId="3" fillId="11" borderId="16" xfId="12" applyNumberFormat="1" applyFont="1" applyFill="1" applyBorder="1">
      <alignment vertical="center"/>
    </xf>
    <xf numFmtId="179" fontId="3" fillId="11" borderId="10" xfId="12" applyNumberFormat="1" applyFont="1" applyFill="1" applyBorder="1">
      <alignment vertical="center"/>
    </xf>
    <xf numFmtId="177" fontId="3" fillId="11" borderId="10" xfId="12" applyNumberFormat="1" applyFont="1" applyFill="1" applyBorder="1">
      <alignment vertical="center"/>
    </xf>
    <xf numFmtId="179" fontId="3" fillId="11" borderId="12" xfId="12" applyNumberFormat="1" applyFont="1" applyFill="1" applyBorder="1">
      <alignment vertical="center"/>
    </xf>
    <xf numFmtId="177" fontId="3" fillId="11" borderId="12" xfId="12" applyNumberFormat="1" applyFont="1" applyFill="1" applyBorder="1">
      <alignment vertical="center"/>
    </xf>
    <xf numFmtId="0" fontId="3" fillId="11" borderId="0" xfId="0" applyNumberFormat="1" applyFont="1" applyFill="1" applyBorder="1">
      <alignment vertical="center"/>
    </xf>
    <xf numFmtId="0" fontId="5" fillId="9" borderId="8" xfId="0" applyNumberFormat="1" applyFont="1" applyFill="1" applyBorder="1">
      <alignment vertical="center"/>
    </xf>
    <xf numFmtId="0" fontId="6" fillId="0" borderId="20" xfId="0" applyNumberFormat="1" applyFont="1" applyBorder="1" applyAlignment="1">
      <alignment horizontal="center" vertical="center"/>
    </xf>
    <xf numFmtId="0" fontId="6" fillId="0" borderId="5" xfId="0" applyNumberFormat="1" applyFont="1" applyBorder="1" applyAlignment="1">
      <alignment horizontal="center" vertical="center"/>
    </xf>
    <xf numFmtId="0" fontId="6" fillId="0" borderId="5" xfId="0" applyNumberFormat="1" applyFont="1" applyBorder="1" applyAlignment="1">
      <alignment horizontal="center" vertical="center" shrinkToFit="1"/>
    </xf>
    <xf numFmtId="41" fontId="6" fillId="0" borderId="5" xfId="0" applyNumberFormat="1" applyFont="1" applyBorder="1" applyAlignment="1">
      <alignment horizontal="center" vertical="center" shrinkToFit="1"/>
    </xf>
    <xf numFmtId="178" fontId="6" fillId="0" borderId="5" xfId="0" applyNumberFormat="1" applyFont="1" applyBorder="1" applyAlignment="1">
      <alignment horizontal="center" vertical="center" shrinkToFit="1"/>
    </xf>
    <xf numFmtId="0" fontId="5" fillId="0" borderId="22" xfId="0" applyNumberFormat="1" applyFont="1" applyBorder="1" applyAlignment="1">
      <alignment horizontal="center" vertical="center"/>
    </xf>
    <xf numFmtId="0" fontId="5" fillId="11" borderId="0" xfId="0" applyNumberFormat="1" applyFont="1" applyFill="1" applyBorder="1">
      <alignment vertical="center"/>
    </xf>
    <xf numFmtId="0" fontId="1" fillId="11" borderId="0" xfId="0" applyNumberFormat="1" applyFont="1" applyFill="1" applyBorder="1">
      <alignment vertical="center"/>
    </xf>
    <xf numFmtId="0" fontId="7" fillId="0" borderId="0" xfId="0" applyNumberFormat="1" applyFont="1" applyBorder="1">
      <alignment vertical="center"/>
    </xf>
    <xf numFmtId="0" fontId="7" fillId="0" borderId="0" xfId="0" applyNumberFormat="1" applyFont="1" applyBorder="1" applyAlignment="1">
      <alignment vertical="center" shrinkToFit="1"/>
    </xf>
    <xf numFmtId="176" fontId="7" fillId="0" borderId="0" xfId="0" applyNumberFormat="1" applyFont="1" applyBorder="1" applyAlignment="1">
      <alignment vertical="center" shrinkToFit="1"/>
    </xf>
    <xf numFmtId="176" fontId="7" fillId="0" borderId="0" xfId="0" applyNumberFormat="1" applyFont="1" applyBorder="1">
      <alignment vertical="center"/>
    </xf>
    <xf numFmtId="41" fontId="7" fillId="0" borderId="0" xfId="0" applyNumberFormat="1" applyFont="1" applyBorder="1" applyAlignment="1">
      <alignment vertical="center" shrinkToFit="1"/>
    </xf>
    <xf numFmtId="178" fontId="7" fillId="0" borderId="0" xfId="0" applyNumberFormat="1" applyFont="1" applyBorder="1" applyAlignment="1">
      <alignment vertical="center" shrinkToFit="1"/>
    </xf>
    <xf numFmtId="0" fontId="6" fillId="0" borderId="5" xfId="0" applyNumberFormat="1" applyFont="1" applyBorder="1" applyAlignment="1">
      <alignment vertical="center" shrinkToFit="1"/>
    </xf>
    <xf numFmtId="176" fontId="6" fillId="0" borderId="5" xfId="0" applyNumberFormat="1" applyFont="1" applyBorder="1" applyAlignment="1">
      <alignment vertical="center" shrinkToFit="1"/>
    </xf>
    <xf numFmtId="176" fontId="6" fillId="0" borderId="5" xfId="0" applyNumberFormat="1" applyFont="1" applyBorder="1">
      <alignment vertical="center"/>
    </xf>
    <xf numFmtId="41" fontId="6" fillId="0" borderId="5" xfId="0" applyNumberFormat="1" applyFont="1" applyBorder="1" applyAlignment="1">
      <alignment vertical="center" shrinkToFit="1"/>
    </xf>
    <xf numFmtId="0" fontId="6" fillId="0" borderId="5" xfId="0" applyNumberFormat="1" applyFont="1" applyBorder="1" applyAlignment="1">
      <alignment horizontal="left" vertical="center"/>
    </xf>
    <xf numFmtId="0" fontId="6" fillId="0" borderId="4" xfId="0" applyNumberFormat="1" applyFont="1" applyBorder="1" applyAlignment="1">
      <alignment vertical="center" shrinkToFit="1"/>
    </xf>
    <xf numFmtId="176" fontId="6" fillId="0" borderId="4" xfId="0" applyNumberFormat="1" applyFont="1" applyBorder="1" applyAlignment="1">
      <alignment vertical="center" shrinkToFit="1"/>
    </xf>
    <xf numFmtId="176" fontId="6" fillId="0" borderId="4" xfId="0" applyNumberFormat="1" applyFont="1" applyBorder="1">
      <alignment vertical="center"/>
    </xf>
    <xf numFmtId="0" fontId="6" fillId="0" borderId="0" xfId="0" applyNumberFormat="1" applyFont="1" applyBorder="1">
      <alignment vertical="center"/>
    </xf>
    <xf numFmtId="178" fontId="6" fillId="0" borderId="0" xfId="0" applyNumberFormat="1" applyFont="1" applyBorder="1" applyAlignment="1">
      <alignment vertical="center" shrinkToFit="1"/>
    </xf>
    <xf numFmtId="178" fontId="7" fillId="0" borderId="0" xfId="0" applyNumberFormat="1" applyFont="1" applyBorder="1">
      <alignment vertical="center"/>
    </xf>
    <xf numFmtId="178" fontId="3" fillId="0" borderId="0" xfId="0" applyNumberFormat="1" applyFont="1" applyBorder="1">
      <alignment vertical="center"/>
    </xf>
    <xf numFmtId="0" fontId="5" fillId="0" borderId="19" xfId="0" applyNumberFormat="1" applyFont="1" applyBorder="1">
      <alignment vertical="center"/>
    </xf>
    <xf numFmtId="0" fontId="2" fillId="0" borderId="0" xfId="3" applyNumberFormat="1" applyFont="1" applyBorder="1" applyAlignment="1">
      <alignment horizontal="center" vertical="center"/>
    </xf>
    <xf numFmtId="178" fontId="7" fillId="0" borderId="0" xfId="10" applyNumberFormat="1" applyFont="1" applyBorder="1" applyAlignment="1">
      <alignment vertical="center" shrinkToFit="1"/>
    </xf>
    <xf numFmtId="176" fontId="7" fillId="0" borderId="0" xfId="3" applyNumberFormat="1" applyFont="1" applyBorder="1" applyAlignment="1">
      <alignment horizontal="center" vertical="center"/>
    </xf>
    <xf numFmtId="178" fontId="7" fillId="0" borderId="0" xfId="3" applyNumberFormat="1" applyFont="1" applyBorder="1">
      <alignment vertical="center"/>
    </xf>
    <xf numFmtId="9" fontId="7" fillId="0" borderId="0" xfId="3" applyNumberFormat="1" applyFont="1" applyBorder="1">
      <alignment vertical="center"/>
    </xf>
    <xf numFmtId="0" fontId="2" fillId="11" borderId="23" xfId="3" applyNumberFormat="1" applyFont="1" applyFill="1" applyBorder="1">
      <alignment vertical="center"/>
    </xf>
    <xf numFmtId="0" fontId="2" fillId="11" borderId="0" xfId="3" applyNumberFormat="1" applyFont="1" applyFill="1" applyBorder="1">
      <alignment vertical="center"/>
    </xf>
    <xf numFmtId="0" fontId="9" fillId="0" borderId="17" xfId="3" applyNumberFormat="1" applyFont="1" applyBorder="1">
      <alignment vertical="center"/>
    </xf>
    <xf numFmtId="178" fontId="6" fillId="0" borderId="0" xfId="8" applyNumberFormat="1" applyFont="1" applyBorder="1">
      <alignment vertical="center"/>
    </xf>
    <xf numFmtId="178" fontId="7" fillId="0" borderId="0" xfId="8" applyNumberFormat="1" applyFont="1" applyBorder="1">
      <alignment vertical="center"/>
    </xf>
    <xf numFmtId="176" fontId="7" fillId="0" borderId="0" xfId="11" applyNumberFormat="1" applyFont="1" applyBorder="1" applyAlignment="1">
      <alignment horizontal="right" vertical="center"/>
    </xf>
    <xf numFmtId="176" fontId="7" fillId="0" borderId="0" xfId="11" applyNumberFormat="1" applyFont="1" applyBorder="1" applyAlignment="1">
      <alignment horizontal="center" vertical="center"/>
    </xf>
    <xf numFmtId="176" fontId="7" fillId="0" borderId="0" xfId="11" applyNumberFormat="1" applyFont="1" applyBorder="1">
      <alignment vertical="center"/>
    </xf>
    <xf numFmtId="41" fontId="7" fillId="0" borderId="0" xfId="11" applyNumberFormat="1" applyFont="1" applyBorder="1" applyAlignment="1">
      <alignment horizontal="center" vertical="center"/>
    </xf>
    <xf numFmtId="180" fontId="7" fillId="0" borderId="0" xfId="3" applyNumberFormat="1" applyFont="1" applyBorder="1">
      <alignment vertical="center"/>
    </xf>
    <xf numFmtId="41" fontId="7" fillId="0" borderId="0" xfId="3" applyNumberFormat="1" applyFont="1" applyBorder="1" applyAlignment="1">
      <alignment horizontal="right" vertical="center"/>
    </xf>
    <xf numFmtId="178" fontId="6" fillId="0" borderId="0" xfId="3" applyNumberFormat="1" applyFont="1" applyBorder="1" applyAlignment="1">
      <alignment vertical="center" shrinkToFit="1"/>
    </xf>
    <xf numFmtId="0" fontId="3" fillId="11" borderId="0" xfId="3" applyNumberFormat="1" applyFont="1" applyFill="1" applyBorder="1">
      <alignment vertical="center"/>
    </xf>
    <xf numFmtId="178" fontId="7" fillId="0" borderId="0" xfId="7" applyNumberFormat="1" applyFont="1" applyBorder="1" applyAlignment="1">
      <alignment horizontal="left" vertical="center" shrinkToFit="1"/>
    </xf>
    <xf numFmtId="178" fontId="9" fillId="0" borderId="0" xfId="7" applyNumberFormat="1" applyFont="1" applyBorder="1" applyAlignment="1">
      <alignment horizontal="left" vertical="center" shrinkToFit="1"/>
    </xf>
    <xf numFmtId="176" fontId="7" fillId="0" borderId="0" xfId="11" applyNumberFormat="1" applyFont="1" applyBorder="1" applyAlignment="1">
      <alignment horizontal="right" vertical="center" shrinkToFit="1"/>
    </xf>
    <xf numFmtId="176" fontId="7" fillId="0" borderId="0" xfId="11" applyNumberFormat="1" applyFont="1" applyBorder="1" applyAlignment="1">
      <alignment horizontal="center" vertical="center" shrinkToFit="1"/>
    </xf>
    <xf numFmtId="176" fontId="7" fillId="0" borderId="0" xfId="3" applyNumberFormat="1" applyFont="1" applyBorder="1">
      <alignment vertical="center"/>
    </xf>
    <xf numFmtId="41" fontId="7" fillId="0" borderId="0" xfId="3" applyNumberFormat="1" applyFont="1" applyBorder="1" applyAlignment="1">
      <alignment horizontal="right" vertical="center" shrinkToFit="1"/>
    </xf>
    <xf numFmtId="178" fontId="9" fillId="0" borderId="0" xfId="3" applyNumberFormat="1" applyFont="1" applyBorder="1" applyAlignment="1">
      <alignment vertical="center" shrinkToFit="1"/>
    </xf>
    <xf numFmtId="0" fontId="43" fillId="0" borderId="19" xfId="3" applyNumberFormat="1" applyFont="1" applyBorder="1">
      <alignment vertical="center"/>
    </xf>
    <xf numFmtId="41" fontId="7" fillId="0" borderId="4" xfId="0" applyNumberFormat="1" applyFont="1" applyBorder="1">
      <alignment vertical="center"/>
    </xf>
    <xf numFmtId="176" fontId="7" fillId="0" borderId="0" xfId="0" applyNumberFormat="1" applyFont="1" applyBorder="1" applyAlignment="1">
      <alignment horizontal="center" vertical="center"/>
    </xf>
    <xf numFmtId="180" fontId="7" fillId="0" borderId="0" xfId="0" applyNumberFormat="1" applyFont="1" applyBorder="1">
      <alignment vertical="center"/>
    </xf>
    <xf numFmtId="178" fontId="7" fillId="0" borderId="8" xfId="0" applyNumberFormat="1" applyFont="1" applyBorder="1" applyAlignment="1">
      <alignment vertical="center" shrinkToFit="1"/>
    </xf>
    <xf numFmtId="0" fontId="7" fillId="0" borderId="0" xfId="0" applyNumberFormat="1" applyFont="1" applyBorder="1" applyAlignment="1">
      <alignment horizontal="center" vertical="center"/>
    </xf>
    <xf numFmtId="0" fontId="9" fillId="0" borderId="26" xfId="0" applyNumberFormat="1" applyFont="1" applyBorder="1">
      <alignment vertical="center"/>
    </xf>
    <xf numFmtId="0" fontId="7" fillId="0" borderId="8" xfId="0" applyNumberFormat="1" applyFont="1" applyBorder="1">
      <alignment vertical="center"/>
    </xf>
    <xf numFmtId="41" fontId="7" fillId="0" borderId="8" xfId="0" applyNumberFormat="1" applyFont="1" applyBorder="1" applyAlignment="1">
      <alignment vertical="center" shrinkToFit="1"/>
    </xf>
    <xf numFmtId="176" fontId="7" fillId="0" borderId="8" xfId="0" applyNumberFormat="1" applyFont="1" applyBorder="1" applyAlignment="1">
      <alignment horizontal="center" vertical="center"/>
    </xf>
    <xf numFmtId="176" fontId="7" fillId="0" borderId="8" xfId="0" applyNumberFormat="1" applyFont="1" applyBorder="1">
      <alignment vertical="center"/>
    </xf>
    <xf numFmtId="178" fontId="6" fillId="0" borderId="8" xfId="0" applyNumberFormat="1" applyFont="1" applyBorder="1" applyAlignment="1">
      <alignment vertical="center" shrinkToFit="1"/>
    </xf>
    <xf numFmtId="0" fontId="3" fillId="0" borderId="4" xfId="3" applyNumberFormat="1" applyFont="1" applyBorder="1">
      <alignment vertical="center"/>
    </xf>
    <xf numFmtId="0" fontId="10" fillId="0" borderId="17" xfId="3" applyNumberFormat="1" applyFont="1" applyBorder="1">
      <alignment vertical="center"/>
    </xf>
    <xf numFmtId="0" fontId="7" fillId="0" borderId="0" xfId="3" applyNumberFormat="1" applyFont="1" applyBorder="1" applyAlignment="1">
      <alignment vertical="center" shrinkToFit="1"/>
    </xf>
    <xf numFmtId="176" fontId="7" fillId="0" borderId="0" xfId="3" applyNumberFormat="1" applyFont="1" applyBorder="1" applyAlignment="1">
      <alignment vertical="center" shrinkToFit="1"/>
    </xf>
    <xf numFmtId="178" fontId="7" fillId="0" borderId="0" xfId="3" applyNumberFormat="1" applyFont="1" applyBorder="1" applyAlignment="1">
      <alignment vertical="center" shrinkToFit="1"/>
    </xf>
    <xf numFmtId="178" fontId="7" fillId="0" borderId="4" xfId="0" applyNumberFormat="1" applyFont="1" applyBorder="1" applyAlignment="1">
      <alignment horizontal="left" vertical="center" shrinkToFit="1"/>
    </xf>
    <xf numFmtId="0" fontId="1" fillId="9" borderId="4" xfId="0" applyNumberFormat="1" applyFont="1" applyFill="1" applyBorder="1">
      <alignment vertical="center"/>
    </xf>
    <xf numFmtId="181" fontId="7" fillId="0" borderId="0" xfId="0" applyNumberFormat="1" applyFont="1" applyBorder="1">
      <alignment vertical="center"/>
    </xf>
    <xf numFmtId="178" fontId="7" fillId="0" borderId="8" xfId="0" applyNumberFormat="1" applyFont="1" applyBorder="1">
      <alignment vertical="center"/>
    </xf>
    <xf numFmtId="178" fontId="7" fillId="0" borderId="8" xfId="10" applyNumberFormat="1" applyFont="1" applyBorder="1" applyAlignment="1">
      <alignment vertical="center" shrinkToFit="1"/>
    </xf>
    <xf numFmtId="176" fontId="7" fillId="0" borderId="8" xfId="3" applyNumberFormat="1" applyFont="1" applyBorder="1" applyAlignment="1">
      <alignment horizontal="center" vertical="center"/>
    </xf>
    <xf numFmtId="9" fontId="7" fillId="0" borderId="8" xfId="3" applyNumberFormat="1" applyFont="1" applyBorder="1">
      <alignment vertical="center"/>
    </xf>
    <xf numFmtId="0" fontId="5" fillId="0" borderId="24" xfId="0" applyNumberFormat="1" applyFont="1" applyBorder="1">
      <alignment vertical="center"/>
    </xf>
    <xf numFmtId="0" fontId="7" fillId="0" borderId="20" xfId="3" applyNumberFormat="1" applyFont="1" applyBorder="1">
      <alignment vertical="center"/>
    </xf>
    <xf numFmtId="41" fontId="7" fillId="0" borderId="5" xfId="5" applyNumberFormat="1" applyFont="1" applyBorder="1" applyAlignment="1">
      <alignment vertical="center" shrinkToFit="1"/>
    </xf>
    <xf numFmtId="176" fontId="7" fillId="0" borderId="5" xfId="5" applyNumberFormat="1" applyFont="1" applyBorder="1" applyAlignment="1">
      <alignment horizontal="center" vertical="center"/>
    </xf>
    <xf numFmtId="0" fontId="7" fillId="0" borderId="5" xfId="5" applyNumberFormat="1" applyFont="1" applyBorder="1" applyAlignment="1">
      <alignment vertical="center" shrinkToFit="1"/>
    </xf>
    <xf numFmtId="176" fontId="7" fillId="0" borderId="5" xfId="5" applyNumberFormat="1" applyFont="1" applyBorder="1" applyAlignment="1">
      <alignment vertical="center" shrinkToFit="1"/>
    </xf>
    <xf numFmtId="181" fontId="7" fillId="0" borderId="5" xfId="5" applyNumberFormat="1" applyFont="1" applyBorder="1">
      <alignment vertical="center"/>
    </xf>
    <xf numFmtId="181" fontId="7" fillId="0" borderId="5" xfId="5" applyNumberFormat="1" applyFont="1" applyBorder="1" applyAlignment="1">
      <alignment vertical="center" shrinkToFit="1"/>
    </xf>
    <xf numFmtId="0" fontId="6" fillId="0" borderId="17" xfId="3" applyNumberFormat="1" applyFont="1" applyBorder="1">
      <alignment vertical="center"/>
    </xf>
    <xf numFmtId="0" fontId="7" fillId="0" borderId="0" xfId="3" applyNumberFormat="1" applyFont="1" applyBorder="1">
      <alignment vertical="center"/>
    </xf>
    <xf numFmtId="41" fontId="7" fillId="0" borderId="0" xfId="11" applyNumberFormat="1" applyFont="1" applyBorder="1">
      <alignment vertical="center"/>
    </xf>
    <xf numFmtId="176" fontId="7" fillId="0" borderId="0" xfId="5" applyNumberFormat="1" applyFont="1" applyBorder="1" applyAlignment="1">
      <alignment horizontal="center" vertical="center"/>
    </xf>
    <xf numFmtId="176" fontId="7" fillId="0" borderId="0" xfId="5" applyNumberFormat="1" applyFont="1" applyBorder="1" applyAlignment="1">
      <alignment vertical="center" shrinkToFit="1"/>
    </xf>
    <xf numFmtId="41" fontId="7" fillId="0" borderId="0" xfId="5" applyNumberFormat="1" applyFont="1" applyBorder="1" applyAlignment="1">
      <alignment vertical="center" shrinkToFit="1"/>
    </xf>
    <xf numFmtId="180" fontId="7" fillId="0" borderId="8" xfId="0" applyNumberFormat="1" applyFont="1" applyBorder="1">
      <alignment vertical="center"/>
    </xf>
    <xf numFmtId="177" fontId="3" fillId="0" borderId="6" xfId="0" applyNumberFormat="1" applyFont="1" applyBorder="1">
      <alignment vertical="center"/>
    </xf>
    <xf numFmtId="177" fontId="5" fillId="0" borderId="12" xfId="0" applyNumberFormat="1" applyFont="1" applyFill="1" applyBorder="1">
      <alignment vertical="center"/>
    </xf>
    <xf numFmtId="0" fontId="7" fillId="0" borderId="24" xfId="6" applyNumberFormat="1" applyFont="1" applyBorder="1">
      <alignment vertical="center"/>
    </xf>
    <xf numFmtId="177" fontId="5" fillId="11" borderId="20" xfId="3" applyNumberFormat="1" applyFont="1" applyFill="1" applyBorder="1" applyAlignment="1">
      <alignment horizontal="right" vertical="center"/>
    </xf>
    <xf numFmtId="178" fontId="7" fillId="11" borderId="8" xfId="0" applyNumberFormat="1" applyFont="1" applyFill="1" applyBorder="1" applyAlignment="1">
      <alignment vertical="center" shrinkToFit="1"/>
    </xf>
    <xf numFmtId="0" fontId="2" fillId="11" borderId="0" xfId="8" applyNumberFormat="1" applyFont="1" applyFill="1" applyBorder="1" applyAlignment="1" applyProtection="1">
      <alignment horizontal="center" vertical="center" wrapText="1"/>
    </xf>
    <xf numFmtId="178" fontId="2" fillId="11" borderId="0" xfId="8" quotePrefix="1" applyNumberFormat="1" applyFont="1" applyFill="1" applyBorder="1" applyAlignment="1" applyProtection="1">
      <alignment horizontal="center" vertical="center" wrapText="1"/>
    </xf>
    <xf numFmtId="177" fontId="2" fillId="11" borderId="0" xfId="11" applyNumberFormat="1" applyFont="1" applyFill="1" applyBorder="1" applyAlignment="1" applyProtection="1">
      <alignment horizontal="right" vertical="center" shrinkToFit="1"/>
    </xf>
    <xf numFmtId="0" fontId="2" fillId="11" borderId="0" xfId="8" applyNumberFormat="1" applyFont="1" applyFill="1" applyBorder="1" applyAlignment="1">
      <alignment horizontal="center" vertical="center" wrapText="1"/>
    </xf>
    <xf numFmtId="177" fontId="2" fillId="11" borderId="0" xfId="0" applyNumberFormat="1" applyFont="1" applyFill="1" applyBorder="1" applyAlignment="1">
      <alignment horizontal="right" vertical="center" wrapText="1"/>
    </xf>
    <xf numFmtId="41" fontId="2" fillId="11" borderId="0" xfId="9" applyNumberFormat="1" applyFont="1" applyFill="1" applyBorder="1" applyAlignment="1" applyProtection="1">
      <alignment horizontal="center" vertical="center" wrapText="1"/>
    </xf>
    <xf numFmtId="0" fontId="3" fillId="9" borderId="14" xfId="0" applyNumberFormat="1" applyFont="1" applyFill="1" applyBorder="1" applyAlignment="1">
      <alignment horizontal="distributed" vertical="center" wrapText="1"/>
    </xf>
    <xf numFmtId="41" fontId="2" fillId="9" borderId="12" xfId="0" applyNumberFormat="1" applyFont="1" applyFill="1" applyBorder="1" applyAlignment="1">
      <alignment horizontal="center" vertical="center"/>
    </xf>
    <xf numFmtId="177" fontId="2" fillId="9" borderId="12" xfId="0" applyNumberFormat="1" applyFont="1" applyFill="1" applyBorder="1">
      <alignment vertical="center"/>
    </xf>
    <xf numFmtId="178" fontId="2" fillId="9" borderId="12" xfId="0" applyNumberFormat="1" applyFont="1" applyFill="1" applyBorder="1" applyAlignment="1">
      <alignment horizontal="right" vertical="center"/>
    </xf>
    <xf numFmtId="177" fontId="2" fillId="9" borderId="12" xfId="0" applyNumberFormat="1" applyFont="1" applyFill="1" applyBorder="1" applyAlignment="1">
      <alignment horizontal="right" vertical="center"/>
    </xf>
    <xf numFmtId="41" fontId="2" fillId="9" borderId="12" xfId="0" applyNumberFormat="1" applyFont="1" applyFill="1" applyBorder="1" applyAlignment="1">
      <alignment horizontal="right" vertical="center"/>
    </xf>
    <xf numFmtId="177" fontId="2" fillId="9" borderId="42" xfId="0" applyNumberFormat="1" applyFont="1" applyFill="1" applyBorder="1" applyAlignment="1">
      <alignment horizontal="center" vertical="center"/>
    </xf>
    <xf numFmtId="0" fontId="2" fillId="9" borderId="12" xfId="8" applyNumberFormat="1" applyFont="1" applyFill="1" applyBorder="1" applyAlignment="1">
      <alignment horizontal="center" vertical="center" wrapText="1"/>
    </xf>
    <xf numFmtId="177" fontId="2" fillId="9" borderId="12" xfId="0" applyNumberFormat="1" applyFont="1" applyFill="1" applyBorder="1" applyAlignment="1">
      <alignment horizontal="right" vertical="center" wrapText="1"/>
    </xf>
    <xf numFmtId="0" fontId="2" fillId="9" borderId="25" xfId="8" applyNumberFormat="1" applyFont="1" applyFill="1" applyBorder="1" applyAlignment="1">
      <alignment horizontal="center" vertical="center" wrapText="1"/>
    </xf>
    <xf numFmtId="0" fontId="2" fillId="9" borderId="16" xfId="8" applyNumberFormat="1" applyFont="1" applyFill="1" applyBorder="1" applyAlignment="1">
      <alignment horizontal="center" vertical="center" wrapText="1"/>
    </xf>
    <xf numFmtId="178" fontId="2" fillId="9" borderId="16" xfId="8" applyNumberFormat="1" applyFont="1" applyFill="1" applyBorder="1" applyAlignment="1">
      <alignment horizontal="center" vertical="center" wrapText="1"/>
    </xf>
    <xf numFmtId="177" fontId="2" fillId="9" borderId="16" xfId="11" applyNumberFormat="1" applyFont="1" applyFill="1" applyBorder="1" applyAlignment="1">
      <alignment horizontal="right" vertical="center" shrinkToFit="1"/>
    </xf>
    <xf numFmtId="41" fontId="2" fillId="9" borderId="88" xfId="9" applyNumberFormat="1" applyFont="1" applyFill="1" applyBorder="1" applyAlignment="1">
      <alignment horizontal="center" vertical="center" wrapText="1"/>
    </xf>
    <xf numFmtId="178" fontId="3" fillId="0" borderId="8" xfId="0" applyNumberFormat="1" applyFont="1" applyBorder="1">
      <alignment vertical="center"/>
    </xf>
    <xf numFmtId="0" fontId="7" fillId="0" borderId="8" xfId="0" applyNumberFormat="1" applyFont="1" applyBorder="1" applyAlignment="1">
      <alignment horizontal="center" vertical="center"/>
    </xf>
    <xf numFmtId="0" fontId="3" fillId="0" borderId="20" xfId="3" applyNumberFormat="1" applyFont="1" applyFill="1" applyBorder="1">
      <alignment vertical="center"/>
    </xf>
    <xf numFmtId="0" fontId="3" fillId="0" borderId="9" xfId="3" applyNumberFormat="1" applyFont="1" applyFill="1" applyBorder="1">
      <alignment vertical="center"/>
    </xf>
    <xf numFmtId="177" fontId="3" fillId="0" borderId="12" xfId="4" applyNumberFormat="1" applyFont="1" applyFill="1" applyBorder="1">
      <alignment vertical="center"/>
    </xf>
    <xf numFmtId="177" fontId="3" fillId="0" borderId="12" xfId="3" applyNumberFormat="1" applyFont="1" applyFill="1" applyBorder="1">
      <alignment vertical="center"/>
    </xf>
    <xf numFmtId="0" fontId="6" fillId="0" borderId="20" xfId="3" applyNumberFormat="1" applyFont="1" applyFill="1" applyBorder="1">
      <alignment vertical="center"/>
    </xf>
    <xf numFmtId="0" fontId="6" fillId="0" borderId="5" xfId="3" applyNumberFormat="1" applyFont="1" applyFill="1" applyBorder="1">
      <alignment vertical="center"/>
    </xf>
    <xf numFmtId="0" fontId="7" fillId="0" borderId="5" xfId="3" applyNumberFormat="1" applyFont="1" applyFill="1" applyBorder="1">
      <alignment vertical="center"/>
    </xf>
    <xf numFmtId="0" fontId="7" fillId="0" borderId="5" xfId="3" applyNumberFormat="1" applyFont="1" applyFill="1" applyBorder="1" applyAlignment="1">
      <alignment vertical="center" shrinkToFit="1"/>
    </xf>
    <xf numFmtId="176" fontId="7" fillId="0" borderId="5" xfId="3" applyNumberFormat="1" applyFont="1" applyFill="1" applyBorder="1" applyAlignment="1">
      <alignment vertical="center" shrinkToFit="1"/>
    </xf>
    <xf numFmtId="176" fontId="7" fillId="0" borderId="5" xfId="3" applyNumberFormat="1" applyFont="1" applyFill="1" applyBorder="1">
      <alignment vertical="center"/>
    </xf>
    <xf numFmtId="41" fontId="7" fillId="0" borderId="5" xfId="3" applyNumberFormat="1" applyFont="1" applyFill="1" applyBorder="1" applyAlignment="1">
      <alignment vertical="center" shrinkToFit="1"/>
    </xf>
    <xf numFmtId="178" fontId="6" fillId="0" borderId="5" xfId="3" applyNumberFormat="1" applyFont="1" applyFill="1" applyBorder="1" applyAlignment="1">
      <alignment vertical="center" shrinkToFit="1"/>
    </xf>
    <xf numFmtId="0" fontId="7" fillId="0" borderId="22" xfId="3" applyNumberFormat="1" applyFont="1" applyFill="1" applyBorder="1">
      <alignment vertical="center"/>
    </xf>
    <xf numFmtId="0" fontId="3" fillId="0" borderId="6" xfId="3" applyNumberFormat="1" applyFont="1" applyFill="1" applyBorder="1">
      <alignment vertical="center"/>
    </xf>
    <xf numFmtId="0" fontId="3" fillId="0" borderId="16" xfId="3" applyNumberFormat="1" applyFont="1" applyFill="1" applyBorder="1">
      <alignment vertical="center"/>
    </xf>
    <xf numFmtId="177" fontId="3" fillId="0" borderId="16" xfId="2" applyNumberFormat="1" applyFont="1" applyFill="1" applyBorder="1">
      <alignment vertical="center"/>
    </xf>
    <xf numFmtId="177" fontId="3" fillId="0" borderId="10" xfId="3" applyNumberFormat="1" applyFont="1" applyFill="1" applyBorder="1">
      <alignment vertical="center"/>
    </xf>
    <xf numFmtId="0" fontId="7" fillId="0" borderId="6" xfId="2" applyNumberFormat="1" applyFont="1" applyFill="1" applyBorder="1">
      <alignment vertical="center"/>
    </xf>
    <xf numFmtId="0" fontId="6" fillId="0" borderId="4" xfId="2" applyNumberFormat="1" applyFont="1" applyFill="1" applyBorder="1">
      <alignment vertical="center"/>
    </xf>
    <xf numFmtId="0" fontId="7" fillId="0" borderId="0" xfId="3" applyNumberFormat="1" applyFont="1" applyFill="1">
      <alignment vertical="center"/>
    </xf>
    <xf numFmtId="0" fontId="7" fillId="0" borderId="0" xfId="3" applyNumberFormat="1" applyFont="1" applyFill="1" applyAlignment="1">
      <alignment vertical="center" shrinkToFit="1"/>
    </xf>
    <xf numFmtId="176" fontId="7" fillId="0" borderId="0" xfId="3" applyNumberFormat="1" applyFont="1" applyFill="1" applyAlignment="1">
      <alignment vertical="center" shrinkToFit="1"/>
    </xf>
    <xf numFmtId="176" fontId="7" fillId="0" borderId="0" xfId="3" applyNumberFormat="1" applyFont="1" applyFill="1">
      <alignment vertical="center"/>
    </xf>
    <xf numFmtId="41" fontId="7" fillId="0" borderId="0" xfId="3" applyNumberFormat="1" applyFont="1" applyFill="1" applyAlignment="1">
      <alignment vertical="center" shrinkToFit="1"/>
    </xf>
    <xf numFmtId="178" fontId="6" fillId="0" borderId="0" xfId="3" applyNumberFormat="1" applyFont="1" applyFill="1" applyAlignment="1">
      <alignment vertical="center" shrinkToFit="1"/>
    </xf>
    <xf numFmtId="0" fontId="7" fillId="0" borderId="19" xfId="3" applyNumberFormat="1" applyFont="1" applyFill="1" applyBorder="1">
      <alignment vertical="center"/>
    </xf>
    <xf numFmtId="0" fontId="3" fillId="0" borderId="0" xfId="6" applyNumberFormat="1" applyFont="1" applyFill="1">
      <alignment vertical="center"/>
    </xf>
    <xf numFmtId="0" fontId="3" fillId="0" borderId="17" xfId="6" applyNumberFormat="1" applyFont="1" applyFill="1" applyBorder="1" applyAlignment="1">
      <alignment vertical="center" wrapText="1"/>
    </xf>
    <xf numFmtId="177" fontId="3" fillId="0" borderId="10" xfId="6" applyNumberFormat="1" applyFont="1" applyFill="1" applyBorder="1">
      <alignment vertical="center"/>
    </xf>
    <xf numFmtId="177" fontId="3" fillId="0" borderId="17" xfId="6" applyNumberFormat="1" applyFont="1" applyFill="1" applyBorder="1">
      <alignment vertical="center"/>
    </xf>
    <xf numFmtId="0" fontId="7" fillId="0" borderId="17" xfId="6" applyNumberFormat="1" applyFont="1" applyFill="1" applyBorder="1">
      <alignment vertical="center"/>
    </xf>
    <xf numFmtId="0" fontId="6" fillId="0" borderId="0" xfId="6" applyNumberFormat="1" applyFont="1" applyFill="1">
      <alignment vertical="center"/>
    </xf>
    <xf numFmtId="0" fontId="7" fillId="0" borderId="0" xfId="6" applyNumberFormat="1" applyFont="1" applyFill="1" applyAlignment="1">
      <alignment horizontal="center" vertical="center"/>
    </xf>
    <xf numFmtId="41" fontId="7" fillId="0" borderId="0" xfId="10" applyNumberFormat="1" applyFont="1" applyFill="1" applyAlignment="1">
      <alignment vertical="center" shrinkToFit="1"/>
    </xf>
    <xf numFmtId="41" fontId="7" fillId="0" borderId="0" xfId="10" applyNumberFormat="1" applyFont="1" applyFill="1">
      <alignment vertical="center"/>
    </xf>
    <xf numFmtId="176" fontId="7" fillId="0" borderId="0" xfId="6" applyNumberFormat="1" applyFont="1" applyFill="1" applyAlignment="1">
      <alignment horizontal="center" vertical="center"/>
    </xf>
    <xf numFmtId="176" fontId="7" fillId="0" borderId="0" xfId="6" applyNumberFormat="1" applyFont="1" applyFill="1">
      <alignment vertical="center"/>
    </xf>
    <xf numFmtId="180" fontId="7" fillId="0" borderId="0" xfId="6" applyNumberFormat="1" applyFont="1" applyFill="1">
      <alignment vertical="center"/>
    </xf>
    <xf numFmtId="41" fontId="7" fillId="0" borderId="0" xfId="6" applyNumberFormat="1" applyFont="1" applyFill="1" applyAlignment="1">
      <alignment vertical="center" shrinkToFit="1"/>
    </xf>
    <xf numFmtId="0" fontId="7" fillId="0" borderId="19" xfId="6" applyNumberFormat="1" applyFont="1" applyFill="1" applyBorder="1">
      <alignment vertical="center"/>
    </xf>
    <xf numFmtId="0" fontId="3" fillId="0" borderId="17" xfId="0" applyNumberFormat="1" applyFont="1" applyFill="1" applyBorder="1">
      <alignment vertical="center"/>
    </xf>
    <xf numFmtId="0" fontId="3" fillId="0" borderId="10" xfId="0" applyNumberFormat="1" applyFont="1" applyFill="1" applyBorder="1">
      <alignment vertical="center"/>
    </xf>
    <xf numFmtId="177" fontId="3" fillId="0" borderId="10" xfId="0" applyNumberFormat="1" applyFont="1" applyFill="1" applyBorder="1">
      <alignment vertical="center"/>
    </xf>
    <xf numFmtId="0" fontId="6" fillId="0" borderId="17" xfId="0" applyNumberFormat="1" applyFont="1" applyFill="1" applyBorder="1">
      <alignment vertical="center"/>
    </xf>
    <xf numFmtId="0" fontId="7" fillId="0" borderId="0" xfId="0" applyNumberFormat="1" applyFont="1" applyFill="1">
      <alignment vertical="center"/>
    </xf>
    <xf numFmtId="0" fontId="7" fillId="0" borderId="0" xfId="0" applyNumberFormat="1" applyFont="1" applyFill="1" applyAlignment="1">
      <alignment horizontal="center" vertical="center"/>
    </xf>
    <xf numFmtId="41" fontId="7" fillId="0" borderId="0" xfId="0" applyNumberFormat="1" applyFont="1" applyFill="1" applyAlignment="1">
      <alignment vertical="center" shrinkToFit="1"/>
    </xf>
    <xf numFmtId="176" fontId="7" fillId="0" borderId="0" xfId="0" applyNumberFormat="1" applyFont="1" applyFill="1" applyAlignment="1">
      <alignment horizontal="center" vertical="center"/>
    </xf>
    <xf numFmtId="176" fontId="7" fillId="0" borderId="0" xfId="0" applyNumberFormat="1" applyFont="1" applyFill="1">
      <alignment vertical="center"/>
    </xf>
    <xf numFmtId="178" fontId="7" fillId="0" borderId="0" xfId="0" applyNumberFormat="1" applyFont="1" applyFill="1" applyAlignment="1">
      <alignment vertical="center" shrinkToFit="1"/>
    </xf>
    <xf numFmtId="0" fontId="3" fillId="0" borderId="19" xfId="0" applyNumberFormat="1" applyFont="1" applyFill="1" applyBorder="1">
      <alignment vertical="center"/>
    </xf>
    <xf numFmtId="0" fontId="7" fillId="0" borderId="0" xfId="0" applyNumberFormat="1" applyFont="1" applyFill="1" applyAlignment="1">
      <alignment vertical="center" shrinkToFit="1"/>
    </xf>
    <xf numFmtId="3" fontId="7" fillId="0" borderId="0" xfId="0" applyNumberFormat="1" applyFont="1" applyFill="1" applyAlignment="1">
      <alignment horizontal="right" vertical="center" shrinkToFit="1"/>
    </xf>
    <xf numFmtId="0" fontId="3" fillId="0" borderId="12" xfId="0" applyNumberFormat="1" applyFont="1" applyFill="1" applyBorder="1">
      <alignment vertical="center"/>
    </xf>
    <xf numFmtId="0" fontId="3" fillId="0" borderId="9" xfId="0" applyNumberFormat="1" applyFont="1" applyFill="1" applyBorder="1">
      <alignment vertical="center"/>
    </xf>
    <xf numFmtId="177" fontId="3" fillId="0" borderId="12" xfId="0" applyNumberFormat="1" applyFont="1" applyFill="1" applyBorder="1">
      <alignment vertical="center"/>
    </xf>
    <xf numFmtId="0" fontId="9" fillId="0" borderId="20" xfId="0" applyNumberFormat="1" applyFont="1" applyFill="1" applyBorder="1">
      <alignment vertical="center"/>
    </xf>
    <xf numFmtId="178" fontId="7" fillId="0" borderId="5" xfId="0" applyNumberFormat="1" applyFont="1" applyFill="1" applyBorder="1" applyAlignment="1">
      <alignment horizontal="left" vertical="center" shrinkToFit="1"/>
    </xf>
    <xf numFmtId="41" fontId="7" fillId="0" borderId="5" xfId="0" applyNumberFormat="1" applyFont="1" applyFill="1" applyBorder="1" applyAlignment="1">
      <alignment horizontal="left" vertical="center" shrinkToFit="1"/>
    </xf>
    <xf numFmtId="178" fontId="7" fillId="0" borderId="5" xfId="0" applyNumberFormat="1" applyFont="1" applyFill="1" applyBorder="1" applyAlignment="1">
      <alignment horizontal="center" vertical="center" shrinkToFit="1"/>
    </xf>
    <xf numFmtId="176" fontId="7" fillId="0" borderId="5" xfId="0" applyNumberFormat="1" applyFont="1" applyFill="1" applyBorder="1" applyAlignment="1">
      <alignment vertical="center" shrinkToFit="1"/>
    </xf>
    <xf numFmtId="176" fontId="7" fillId="0" borderId="5" xfId="0" applyNumberFormat="1" applyFont="1" applyFill="1" applyBorder="1" applyAlignment="1">
      <alignment horizontal="center" vertical="center"/>
    </xf>
    <xf numFmtId="176" fontId="7" fillId="0" borderId="5" xfId="0" applyNumberFormat="1" applyFont="1" applyFill="1" applyBorder="1">
      <alignment vertical="center"/>
    </xf>
    <xf numFmtId="41" fontId="7" fillId="0" borderId="5" xfId="0" applyNumberFormat="1" applyFont="1" applyFill="1" applyBorder="1" applyAlignment="1">
      <alignment vertical="center" shrinkToFit="1"/>
    </xf>
    <xf numFmtId="178" fontId="6" fillId="0" borderId="5" xfId="0" applyNumberFormat="1" applyFont="1" applyFill="1" applyBorder="1" applyAlignment="1">
      <alignment vertical="center" shrinkToFit="1"/>
    </xf>
    <xf numFmtId="0" fontId="3" fillId="0" borderId="7" xfId="0" applyNumberFormat="1" applyFont="1" applyFill="1" applyBorder="1">
      <alignment vertical="center"/>
    </xf>
    <xf numFmtId="0" fontId="3" fillId="0" borderId="18" xfId="0" applyNumberFormat="1" applyFont="1" applyFill="1" applyBorder="1">
      <alignment vertical="center"/>
    </xf>
    <xf numFmtId="0" fontId="3" fillId="0" borderId="16" xfId="2" applyNumberFormat="1" applyFont="1" applyFill="1" applyBorder="1">
      <alignment vertical="center"/>
    </xf>
    <xf numFmtId="0" fontId="7" fillId="0" borderId="4" xfId="2" applyNumberFormat="1" applyFont="1" applyFill="1" applyBorder="1">
      <alignment vertical="center"/>
    </xf>
    <xf numFmtId="0" fontId="7" fillId="0" borderId="4" xfId="2" applyNumberFormat="1" applyFont="1" applyFill="1" applyBorder="1" applyAlignment="1">
      <alignment vertical="center" shrinkToFit="1"/>
    </xf>
    <xf numFmtId="176" fontId="7" fillId="0" borderId="4" xfId="2" applyNumberFormat="1" applyFont="1" applyFill="1" applyBorder="1">
      <alignment vertical="center"/>
    </xf>
    <xf numFmtId="41" fontId="7" fillId="0" borderId="4" xfId="2" applyNumberFormat="1" applyFont="1" applyFill="1" applyBorder="1" applyAlignment="1">
      <alignment vertical="center" shrinkToFit="1"/>
    </xf>
    <xf numFmtId="176" fontId="7" fillId="0" borderId="4" xfId="2" applyNumberFormat="1" applyFont="1" applyFill="1" applyBorder="1" applyAlignment="1">
      <alignment horizontal="center" vertical="center"/>
    </xf>
    <xf numFmtId="176" fontId="7" fillId="0" borderId="4" xfId="2" applyNumberFormat="1" applyFont="1" applyFill="1" applyBorder="1" applyAlignment="1">
      <alignment vertical="center" shrinkToFit="1"/>
    </xf>
    <xf numFmtId="180" fontId="7" fillId="0" borderId="4" xfId="2" applyNumberFormat="1" applyFont="1" applyFill="1" applyBorder="1">
      <alignment vertical="center"/>
    </xf>
    <xf numFmtId="41" fontId="6" fillId="0" borderId="4" xfId="2" applyNumberFormat="1" applyFont="1" applyFill="1" applyBorder="1" applyAlignment="1">
      <alignment vertical="center" shrinkToFit="1"/>
    </xf>
    <xf numFmtId="0" fontId="3" fillId="0" borderId="7" xfId="2" applyNumberFormat="1" applyFont="1" applyFill="1" applyBorder="1">
      <alignment vertical="center"/>
    </xf>
    <xf numFmtId="180" fontId="7" fillId="0" borderId="0" xfId="0" applyNumberFormat="1" applyFont="1" applyFill="1">
      <alignment vertical="center"/>
    </xf>
    <xf numFmtId="178" fontId="26" fillId="0" borderId="0" xfId="7" applyNumberFormat="1" applyFont="1" applyBorder="1" applyAlignment="1">
      <alignment horizontal="left" vertical="center" shrinkToFit="1"/>
    </xf>
    <xf numFmtId="0" fontId="2" fillId="9" borderId="40" xfId="8" applyNumberFormat="1" applyFont="1" applyFill="1" applyBorder="1" applyAlignment="1">
      <alignment horizontal="center" vertical="center" wrapText="1"/>
    </xf>
    <xf numFmtId="177" fontId="2" fillId="9" borderId="40" xfId="0" applyNumberFormat="1" applyFont="1" applyFill="1" applyBorder="1" applyAlignment="1">
      <alignment horizontal="right" vertical="center" wrapText="1"/>
    </xf>
    <xf numFmtId="177" fontId="34" fillId="9" borderId="12" xfId="0" applyNumberFormat="1" applyFont="1" applyFill="1" applyBorder="1" applyAlignment="1">
      <alignment horizontal="right" vertical="center" wrapText="1"/>
    </xf>
    <xf numFmtId="0" fontId="2" fillId="9" borderId="126" xfId="8" applyNumberFormat="1" applyFont="1" applyFill="1" applyBorder="1" applyAlignment="1">
      <alignment horizontal="center" vertical="center" wrapText="1"/>
    </xf>
    <xf numFmtId="177" fontId="34" fillId="9" borderId="126" xfId="0" applyNumberFormat="1" applyFont="1" applyFill="1" applyBorder="1" applyAlignment="1">
      <alignment horizontal="right" vertical="center" wrapText="1"/>
    </xf>
    <xf numFmtId="0" fontId="34" fillId="9" borderId="15" xfId="8" applyNumberFormat="1" applyFont="1" applyFill="1" applyBorder="1" applyAlignment="1">
      <alignment horizontal="center" vertical="center" wrapText="1"/>
    </xf>
    <xf numFmtId="177" fontId="34" fillId="9" borderId="15" xfId="0" applyNumberFormat="1" applyFont="1" applyFill="1" applyBorder="1" applyAlignment="1">
      <alignment horizontal="right" vertical="center" wrapText="1"/>
    </xf>
    <xf numFmtId="0" fontId="34" fillId="9" borderId="43" xfId="8" applyNumberFormat="1" applyFont="1" applyFill="1" applyBorder="1" applyAlignment="1">
      <alignment horizontal="center" vertical="center" wrapText="1"/>
    </xf>
    <xf numFmtId="177" fontId="34" fillId="9" borderId="43" xfId="0" applyNumberFormat="1" applyFont="1" applyFill="1" applyBorder="1" applyAlignment="1">
      <alignment horizontal="right" vertical="center" wrapText="1"/>
    </xf>
    <xf numFmtId="0" fontId="3" fillId="0" borderId="0" xfId="0" applyNumberFormat="1" applyFont="1" applyBorder="1">
      <alignment vertical="center"/>
    </xf>
    <xf numFmtId="41" fontId="6" fillId="11" borderId="0" xfId="2" applyNumberFormat="1" applyFont="1" applyFill="1" applyBorder="1" applyAlignment="1">
      <alignment vertical="center" shrinkToFit="1"/>
    </xf>
    <xf numFmtId="0" fontId="3" fillId="0" borderId="26" xfId="0" applyNumberFormat="1" applyFont="1" applyFill="1" applyBorder="1" applyAlignment="1" applyProtection="1">
      <alignment horizontal="center" vertical="center"/>
    </xf>
    <xf numFmtId="0" fontId="28" fillId="0" borderId="0" xfId="0" applyNumberFormat="1" applyFont="1" applyFill="1">
      <alignment vertical="center"/>
    </xf>
    <xf numFmtId="0" fontId="28" fillId="0" borderId="0" xfId="0" applyNumberFormat="1" applyFont="1" applyFill="1" applyAlignment="1">
      <alignment horizontal="center" vertical="center"/>
    </xf>
    <xf numFmtId="41" fontId="28" fillId="0" borderId="0" xfId="0" applyNumberFormat="1" applyFont="1" applyFill="1" applyAlignment="1">
      <alignment vertical="center" shrinkToFit="1"/>
    </xf>
    <xf numFmtId="176" fontId="28" fillId="0" borderId="0" xfId="0" applyNumberFormat="1" applyFont="1" applyFill="1" applyAlignment="1">
      <alignment horizontal="center" vertical="center"/>
    </xf>
    <xf numFmtId="41" fontId="28" fillId="0" borderId="0" xfId="0" applyNumberFormat="1" applyFont="1" applyFill="1" applyAlignment="1">
      <alignment horizontal="right" vertical="center" shrinkToFit="1"/>
    </xf>
    <xf numFmtId="176" fontId="28" fillId="0" borderId="0" xfId="0" applyNumberFormat="1" applyFont="1" applyFill="1">
      <alignment vertical="center"/>
    </xf>
    <xf numFmtId="0" fontId="45" fillId="0" borderId="0" xfId="0" applyNumberFormat="1" applyFont="1" applyAlignment="1">
      <alignment horizontal="center" vertical="center"/>
    </xf>
    <xf numFmtId="0" fontId="46" fillId="0" borderId="0" xfId="0" applyNumberFormat="1" applyFont="1" applyAlignment="1">
      <alignment horizontal="center" vertical="center"/>
    </xf>
    <xf numFmtId="0" fontId="47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48" fillId="0" borderId="0" xfId="0" applyNumberFormat="1" applyFont="1" applyAlignment="1">
      <alignment horizontal="center" vertical="center"/>
    </xf>
    <xf numFmtId="0" fontId="49" fillId="0" borderId="0" xfId="5" applyNumberFormat="1" applyFont="1" applyAlignment="1">
      <alignment horizontal="center" vertical="center"/>
    </xf>
    <xf numFmtId="0" fontId="4" fillId="0" borderId="0" xfId="5" applyNumberFormat="1" applyFont="1" applyAlignment="1">
      <alignment horizontal="center" vertical="center"/>
    </xf>
    <xf numFmtId="0" fontId="4" fillId="0" borderId="25" xfId="5" applyNumberFormat="1" applyFont="1" applyBorder="1" applyAlignment="1">
      <alignment horizontal="center" vertical="center" wrapText="1"/>
    </xf>
    <xf numFmtId="0" fontId="4" fillId="0" borderId="11" xfId="5" applyNumberFormat="1" applyFont="1" applyBorder="1" applyAlignment="1">
      <alignment horizontal="center" vertical="center" wrapText="1"/>
    </xf>
    <xf numFmtId="0" fontId="4" fillId="0" borderId="114" xfId="5" applyNumberFormat="1" applyFont="1" applyBorder="1" applyAlignment="1">
      <alignment horizontal="center" vertical="center" wrapText="1"/>
    </xf>
    <xf numFmtId="0" fontId="4" fillId="0" borderId="31" xfId="5" applyNumberFormat="1" applyFont="1" applyBorder="1" applyAlignment="1">
      <alignment horizontal="center" vertical="center" wrapText="1"/>
    </xf>
    <xf numFmtId="0" fontId="5" fillId="0" borderId="25" xfId="5" applyNumberFormat="1" applyFont="1" applyBorder="1" applyAlignment="1">
      <alignment horizontal="center" vertical="center" wrapText="1"/>
    </xf>
    <xf numFmtId="0" fontId="5" fillId="0" borderId="11" xfId="5" applyNumberFormat="1" applyFont="1" applyBorder="1" applyAlignment="1">
      <alignment horizontal="center" vertical="center" wrapText="1"/>
    </xf>
    <xf numFmtId="0" fontId="5" fillId="0" borderId="114" xfId="5" applyNumberFormat="1" applyFont="1" applyBorder="1" applyAlignment="1">
      <alignment horizontal="center" vertical="center" wrapText="1"/>
    </xf>
    <xf numFmtId="49" fontId="4" fillId="0" borderId="6" xfId="5" applyNumberFormat="1" applyFont="1" applyBorder="1" applyAlignment="1">
      <alignment horizontal="center" vertical="center" shrinkToFit="1"/>
    </xf>
    <xf numFmtId="49" fontId="4" fillId="0" borderId="4" xfId="5" applyNumberFormat="1" applyFont="1" applyBorder="1" applyAlignment="1">
      <alignment horizontal="center" vertical="center" shrinkToFit="1"/>
    </xf>
    <xf numFmtId="0" fontId="19" fillId="0" borderId="25" xfId="5" applyNumberFormat="1" applyFont="1" applyBorder="1" applyAlignment="1">
      <alignment horizontal="center" vertical="center" wrapText="1"/>
    </xf>
    <xf numFmtId="0" fontId="19" fillId="0" borderId="11" xfId="5" applyNumberFormat="1" applyFont="1" applyBorder="1" applyAlignment="1">
      <alignment horizontal="center" vertical="center"/>
    </xf>
    <xf numFmtId="0" fontId="19" fillId="0" borderId="31" xfId="5" applyNumberFormat="1" applyFont="1" applyBorder="1" applyAlignment="1">
      <alignment horizontal="center" vertical="center"/>
    </xf>
    <xf numFmtId="49" fontId="2" fillId="0" borderId="12" xfId="5" applyNumberFormat="1" applyFont="1" applyBorder="1" applyAlignment="1">
      <alignment horizontal="left" vertical="center" shrinkToFit="1"/>
    </xf>
    <xf numFmtId="49" fontId="2" fillId="0" borderId="43" xfId="5" applyNumberFormat="1" applyFont="1" applyBorder="1" applyAlignment="1">
      <alignment horizontal="left" vertical="center" shrinkToFit="1"/>
    </xf>
    <xf numFmtId="177" fontId="4" fillId="0" borderId="4" xfId="5" applyNumberFormat="1" applyFont="1" applyBorder="1" applyAlignment="1">
      <alignment horizontal="right" vertical="center" wrapText="1"/>
    </xf>
    <xf numFmtId="177" fontId="4" fillId="0" borderId="0" xfId="5" applyNumberFormat="1" applyFont="1" applyAlignment="1">
      <alignment horizontal="right" vertical="center" wrapText="1"/>
    </xf>
    <xf numFmtId="177" fontId="4" fillId="0" borderId="2" xfId="5" applyNumberFormat="1" applyFont="1" applyBorder="1" applyAlignment="1">
      <alignment horizontal="right" vertical="center" wrapText="1"/>
    </xf>
    <xf numFmtId="0" fontId="4" fillId="2" borderId="1" xfId="5" applyNumberFormat="1" applyFont="1" applyFill="1" applyBorder="1" applyAlignment="1">
      <alignment horizontal="center" vertical="center" wrapText="1"/>
    </xf>
    <xf numFmtId="0" fontId="4" fillId="2" borderId="15" xfId="5" applyNumberFormat="1" applyFont="1" applyFill="1" applyBorder="1" applyAlignment="1">
      <alignment horizontal="center" vertical="center" wrapText="1"/>
    </xf>
    <xf numFmtId="0" fontId="4" fillId="2" borderId="40" xfId="5" applyNumberFormat="1" applyFont="1" applyFill="1" applyBorder="1" applyAlignment="1">
      <alignment horizontal="center" vertical="center" wrapText="1"/>
    </xf>
    <xf numFmtId="0" fontId="4" fillId="2" borderId="12" xfId="5" applyNumberFormat="1" applyFont="1" applyFill="1" applyBorder="1" applyAlignment="1">
      <alignment horizontal="center" vertical="center" wrapText="1"/>
    </xf>
    <xf numFmtId="177" fontId="4" fillId="2" borderId="41" xfId="5" applyNumberFormat="1" applyFont="1" applyFill="1" applyBorder="1" applyAlignment="1">
      <alignment horizontal="center" vertical="center" wrapText="1"/>
    </xf>
    <xf numFmtId="177" fontId="4" fillId="2" borderId="42" xfId="5" applyNumberFormat="1" applyFont="1" applyFill="1" applyBorder="1" applyAlignment="1">
      <alignment horizontal="center" vertical="center" wrapText="1"/>
    </xf>
    <xf numFmtId="0" fontId="4" fillId="2" borderId="45" xfId="5" applyNumberFormat="1" applyFont="1" applyFill="1" applyBorder="1" applyAlignment="1">
      <alignment horizontal="center" vertical="center" wrapText="1"/>
    </xf>
    <xf numFmtId="0" fontId="4" fillId="2" borderId="29" xfId="5" applyNumberFormat="1" applyFont="1" applyFill="1" applyBorder="1" applyAlignment="1">
      <alignment horizontal="center" vertical="center" wrapText="1"/>
    </xf>
    <xf numFmtId="0" fontId="4" fillId="2" borderId="23" xfId="5" applyNumberFormat="1" applyFont="1" applyFill="1" applyBorder="1" applyAlignment="1">
      <alignment horizontal="center" vertical="center" wrapText="1"/>
    </xf>
    <xf numFmtId="0" fontId="4" fillId="2" borderId="0" xfId="5" applyNumberFormat="1" applyFont="1" applyFill="1" applyAlignment="1">
      <alignment horizontal="center" vertical="center" wrapText="1"/>
    </xf>
    <xf numFmtId="0" fontId="4" fillId="2" borderId="93" xfId="5" applyNumberFormat="1" applyFont="1" applyFill="1" applyBorder="1" applyAlignment="1">
      <alignment horizontal="center" vertical="center" wrapText="1"/>
    </xf>
    <xf numFmtId="0" fontId="4" fillId="2" borderId="2" xfId="5" applyNumberFormat="1" applyFont="1" applyFill="1" applyBorder="1" applyAlignment="1">
      <alignment horizontal="center" vertical="center" wrapText="1"/>
    </xf>
    <xf numFmtId="0" fontId="50" fillId="11" borderId="12" xfId="5" applyNumberFormat="1" applyFont="1" applyFill="1" applyBorder="1" applyAlignment="1">
      <alignment horizontal="left" vertical="center" wrapText="1"/>
    </xf>
    <xf numFmtId="0" fontId="50" fillId="11" borderId="43" xfId="5" applyNumberFormat="1" applyFont="1" applyFill="1" applyBorder="1" applyAlignment="1">
      <alignment horizontal="left" vertical="center" wrapText="1"/>
    </xf>
    <xf numFmtId="177" fontId="4" fillId="0" borderId="7" xfId="5" applyNumberFormat="1" applyFont="1" applyBorder="1" applyAlignment="1">
      <alignment horizontal="right" vertical="center"/>
    </xf>
    <xf numFmtId="177" fontId="4" fillId="0" borderId="19" xfId="5" applyNumberFormat="1" applyFont="1" applyBorder="1" applyAlignment="1">
      <alignment horizontal="right" vertical="center"/>
    </xf>
    <xf numFmtId="177" fontId="4" fillId="0" borderId="13" xfId="5" applyNumberFormat="1" applyFont="1" applyBorder="1" applyAlignment="1">
      <alignment horizontal="right" vertical="center"/>
    </xf>
    <xf numFmtId="177" fontId="4" fillId="0" borderId="16" xfId="5" applyNumberFormat="1" applyFont="1" applyBorder="1" applyAlignment="1">
      <alignment horizontal="right" vertical="center" wrapText="1"/>
    </xf>
    <xf numFmtId="177" fontId="4" fillId="0" borderId="10" xfId="5" applyNumberFormat="1" applyFont="1" applyBorder="1" applyAlignment="1">
      <alignment horizontal="right" vertical="center" wrapText="1"/>
    </xf>
    <xf numFmtId="177" fontId="4" fillId="0" borderId="3" xfId="5" applyNumberFormat="1" applyFont="1" applyBorder="1" applyAlignment="1">
      <alignment horizontal="right" vertical="center" wrapText="1"/>
    </xf>
    <xf numFmtId="0" fontId="4" fillId="2" borderId="127" xfId="5" applyNumberFormat="1" applyFont="1" applyFill="1" applyBorder="1" applyAlignment="1">
      <alignment horizontal="center" vertical="center" wrapText="1"/>
    </xf>
    <xf numFmtId="0" fontId="4" fillId="2" borderId="128" xfId="5" applyNumberFormat="1" applyFont="1" applyFill="1" applyBorder="1" applyAlignment="1">
      <alignment horizontal="center" vertical="center" wrapText="1"/>
    </xf>
    <xf numFmtId="0" fontId="4" fillId="2" borderId="129" xfId="5" applyNumberFormat="1" applyFont="1" applyFill="1" applyBorder="1" applyAlignment="1">
      <alignment horizontal="center" vertical="center" wrapText="1"/>
    </xf>
    <xf numFmtId="0" fontId="4" fillId="2" borderId="130" xfId="5" applyNumberFormat="1" applyFont="1" applyFill="1" applyBorder="1" applyAlignment="1">
      <alignment horizontal="center" vertical="center" wrapText="1"/>
    </xf>
    <xf numFmtId="0" fontId="4" fillId="2" borderId="54" xfId="5" applyNumberFormat="1" applyFont="1" applyFill="1" applyBorder="1" applyAlignment="1">
      <alignment horizontal="center" vertical="center" wrapText="1"/>
    </xf>
    <xf numFmtId="0" fontId="4" fillId="0" borderId="32" xfId="5" applyNumberFormat="1" applyFont="1" applyBorder="1" applyAlignment="1">
      <alignment horizontal="center" vertical="center" wrapText="1"/>
    </xf>
    <xf numFmtId="0" fontId="4" fillId="0" borderId="5" xfId="5" applyNumberFormat="1" applyFont="1" applyBorder="1" applyAlignment="1">
      <alignment horizontal="center" vertical="center" wrapText="1"/>
    </xf>
    <xf numFmtId="0" fontId="4" fillId="0" borderId="9" xfId="5" applyNumberFormat="1" applyFont="1" applyBorder="1" applyAlignment="1">
      <alignment horizontal="center" vertical="center" wrapText="1"/>
    </xf>
    <xf numFmtId="0" fontId="4" fillId="0" borderId="131" xfId="5" applyNumberFormat="1" applyFont="1" applyBorder="1" applyAlignment="1">
      <alignment horizontal="center" vertical="center" wrapText="1"/>
    </xf>
    <xf numFmtId="0" fontId="4" fillId="0" borderId="56" xfId="5" applyNumberFormat="1" applyFont="1" applyBorder="1" applyAlignment="1">
      <alignment horizontal="center" vertical="center" wrapText="1"/>
    </xf>
    <xf numFmtId="0" fontId="19" fillId="0" borderId="11" xfId="5" applyNumberFormat="1" applyFont="1" applyBorder="1" applyAlignment="1">
      <alignment horizontal="center" vertical="center" wrapText="1"/>
    </xf>
    <xf numFmtId="0" fontId="19" fillId="0" borderId="114" xfId="5" applyNumberFormat="1" applyFont="1" applyBorder="1" applyAlignment="1">
      <alignment horizontal="center" vertical="center" wrapText="1"/>
    </xf>
    <xf numFmtId="0" fontId="4" fillId="0" borderId="20" xfId="5" applyNumberFormat="1" applyFont="1" applyBorder="1" applyAlignment="1">
      <alignment horizontal="center" vertical="center" wrapText="1"/>
    </xf>
    <xf numFmtId="0" fontId="4" fillId="0" borderId="132" xfId="5" applyNumberFormat="1" applyFont="1" applyBorder="1" applyAlignment="1">
      <alignment horizontal="center" vertical="center" wrapText="1"/>
    </xf>
    <xf numFmtId="0" fontId="4" fillId="0" borderId="133" xfId="5" applyNumberFormat="1" applyFont="1" applyBorder="1" applyAlignment="1">
      <alignment horizontal="center" vertical="center" wrapText="1"/>
    </xf>
    <xf numFmtId="49" fontId="2" fillId="0" borderId="15" xfId="5" applyNumberFormat="1" applyFont="1" applyBorder="1" applyAlignment="1">
      <alignment horizontal="left" vertical="center" shrinkToFit="1"/>
    </xf>
    <xf numFmtId="49" fontId="2" fillId="0" borderId="16" xfId="5" applyNumberFormat="1" applyFont="1" applyBorder="1" applyAlignment="1">
      <alignment horizontal="left" vertical="center" shrinkToFit="1"/>
    </xf>
    <xf numFmtId="0" fontId="2" fillId="11" borderId="35" xfId="5" applyNumberFormat="1" applyFont="1" applyFill="1" applyBorder="1" applyAlignment="1">
      <alignment horizontal="center" vertical="center"/>
    </xf>
    <xf numFmtId="0" fontId="2" fillId="11" borderId="77" xfId="5" applyNumberFormat="1" applyFont="1" applyFill="1" applyBorder="1" applyAlignment="1">
      <alignment horizontal="center" vertical="center"/>
    </xf>
    <xf numFmtId="0" fontId="4" fillId="2" borderId="55" xfId="5" applyNumberFormat="1" applyFont="1" applyFill="1" applyBorder="1" applyAlignment="1">
      <alignment horizontal="center" vertical="center" wrapText="1"/>
    </xf>
    <xf numFmtId="0" fontId="4" fillId="2" borderId="134" xfId="5" applyNumberFormat="1" applyFont="1" applyFill="1" applyBorder="1" applyAlignment="1">
      <alignment horizontal="center" vertical="center"/>
    </xf>
    <xf numFmtId="0" fontId="4" fillId="2" borderId="129" xfId="5" applyNumberFormat="1" applyFont="1" applyFill="1" applyBorder="1" applyAlignment="1">
      <alignment horizontal="center" vertical="center"/>
    </xf>
    <xf numFmtId="0" fontId="2" fillId="11" borderId="25" xfId="5" applyNumberFormat="1" applyFont="1" applyFill="1" applyBorder="1" applyAlignment="1">
      <alignment horizontal="center" vertical="center"/>
    </xf>
    <xf numFmtId="0" fontId="2" fillId="11" borderId="11" xfId="5" applyNumberFormat="1" applyFont="1" applyFill="1" applyBorder="1" applyAlignment="1">
      <alignment horizontal="center" vertical="center"/>
    </xf>
    <xf numFmtId="0" fontId="2" fillId="11" borderId="31" xfId="5" applyNumberFormat="1" applyFont="1" applyFill="1" applyBorder="1" applyAlignment="1">
      <alignment horizontal="center" vertical="center"/>
    </xf>
    <xf numFmtId="0" fontId="2" fillId="11" borderId="6" xfId="5" applyNumberFormat="1" applyFont="1" applyFill="1" applyBorder="1" applyAlignment="1">
      <alignment horizontal="center" vertical="center"/>
    </xf>
    <xf numFmtId="0" fontId="2" fillId="11" borderId="21" xfId="5" applyNumberFormat="1" applyFont="1" applyFill="1" applyBorder="1" applyAlignment="1">
      <alignment horizontal="center" vertical="center"/>
    </xf>
    <xf numFmtId="0" fontId="2" fillId="11" borderId="17" xfId="5" applyNumberFormat="1" applyFont="1" applyFill="1" applyBorder="1" applyAlignment="1">
      <alignment horizontal="center" vertical="center" shrinkToFit="1"/>
    </xf>
    <xf numFmtId="0" fontId="2" fillId="11" borderId="18" xfId="5" applyNumberFormat="1" applyFont="1" applyFill="1" applyBorder="1" applyAlignment="1">
      <alignment horizontal="center" vertical="center" shrinkToFit="1"/>
    </xf>
    <xf numFmtId="0" fontId="2" fillId="11" borderId="17" xfId="5" applyNumberFormat="1" applyFont="1" applyFill="1" applyBorder="1" applyAlignment="1">
      <alignment horizontal="center" vertical="center"/>
    </xf>
    <xf numFmtId="0" fontId="2" fillId="11" borderId="18" xfId="5" applyNumberFormat="1" applyFont="1" applyFill="1" applyBorder="1" applyAlignment="1">
      <alignment horizontal="center" vertical="center"/>
    </xf>
    <xf numFmtId="0" fontId="4" fillId="0" borderId="0" xfId="5" applyNumberFormat="1" applyFont="1" applyAlignment="1">
      <alignment horizontal="left" vertical="center" wrapText="1"/>
    </xf>
    <xf numFmtId="0" fontId="2" fillId="0" borderId="0" xfId="5" applyNumberFormat="1" applyFont="1" applyAlignment="1">
      <alignment horizontal="left" vertical="center" wrapText="1"/>
    </xf>
    <xf numFmtId="0" fontId="4" fillId="0" borderId="0" xfId="5" applyNumberFormat="1" applyFont="1" applyAlignment="1">
      <alignment horizontal="left" vertical="center"/>
    </xf>
    <xf numFmtId="0" fontId="2" fillId="0" borderId="0" xfId="5" applyNumberFormat="1" applyFont="1" applyAlignment="1">
      <alignment horizontal="left" vertical="center"/>
    </xf>
    <xf numFmtId="0" fontId="2" fillId="0" borderId="25" xfId="5" applyNumberFormat="1" applyFont="1" applyBorder="1" applyAlignment="1">
      <alignment horizontal="center" vertical="center" wrapText="1"/>
    </xf>
    <xf numFmtId="0" fontId="2" fillId="0" borderId="11" xfId="5" applyNumberFormat="1" applyFont="1" applyBorder="1" applyAlignment="1">
      <alignment horizontal="center" vertical="center" wrapText="1"/>
    </xf>
    <xf numFmtId="0" fontId="2" fillId="0" borderId="31" xfId="5" applyNumberFormat="1" applyFont="1" applyBorder="1" applyAlignment="1">
      <alignment horizontal="center" vertical="center" wrapText="1"/>
    </xf>
    <xf numFmtId="0" fontId="2" fillId="0" borderId="16" xfId="5" applyNumberFormat="1" applyFont="1" applyBorder="1" applyAlignment="1">
      <alignment horizontal="center" vertical="center" wrapText="1"/>
    </xf>
    <xf numFmtId="0" fontId="2" fillId="0" borderId="10" xfId="5" applyNumberFormat="1" applyFont="1" applyBorder="1" applyAlignment="1">
      <alignment horizontal="center" vertical="center" wrapText="1"/>
    </xf>
    <xf numFmtId="0" fontId="2" fillId="0" borderId="3" xfId="5" applyNumberFormat="1" applyFont="1" applyBorder="1" applyAlignment="1">
      <alignment horizontal="center" vertical="center" wrapText="1"/>
    </xf>
    <xf numFmtId="177" fontId="2" fillId="0" borderId="16" xfId="5" applyNumberFormat="1" applyFont="1" applyBorder="1" applyAlignment="1">
      <alignment horizontal="center" vertical="center" wrapText="1"/>
    </xf>
    <xf numFmtId="177" fontId="2" fillId="0" borderId="10" xfId="5" applyNumberFormat="1" applyFont="1" applyBorder="1" applyAlignment="1">
      <alignment horizontal="center" vertical="center" wrapText="1"/>
    </xf>
    <xf numFmtId="177" fontId="2" fillId="0" borderId="3" xfId="5" applyNumberFormat="1" applyFont="1" applyBorder="1" applyAlignment="1">
      <alignment horizontal="center" vertical="center" wrapText="1"/>
    </xf>
    <xf numFmtId="0" fontId="4" fillId="0" borderId="135" xfId="5" applyNumberFormat="1" applyFont="1" applyBorder="1" applyAlignment="1">
      <alignment horizontal="center" vertical="center" wrapText="1"/>
    </xf>
    <xf numFmtId="0" fontId="4" fillId="0" borderId="119" xfId="5" applyNumberFormat="1" applyFont="1" applyBorder="1" applyAlignment="1">
      <alignment horizontal="center" vertical="center" wrapText="1"/>
    </xf>
    <xf numFmtId="0" fontId="4" fillId="0" borderId="136" xfId="5" applyNumberFormat="1" applyFont="1" applyBorder="1" applyAlignment="1">
      <alignment horizontal="center" vertical="center" wrapText="1"/>
    </xf>
    <xf numFmtId="0" fontId="4" fillId="2" borderId="90" xfId="5" applyNumberFormat="1" applyFont="1" applyFill="1" applyBorder="1" applyAlignment="1">
      <alignment horizontal="center" vertical="center" wrapText="1"/>
    </xf>
    <xf numFmtId="0" fontId="4" fillId="2" borderId="58" xfId="5" applyNumberFormat="1" applyFont="1" applyFill="1" applyBorder="1" applyAlignment="1">
      <alignment horizontal="center" vertical="center" wrapText="1"/>
    </xf>
    <xf numFmtId="0" fontId="4" fillId="0" borderId="90" xfId="5" applyNumberFormat="1" applyFont="1" applyBorder="1" applyAlignment="1">
      <alignment horizontal="center" vertical="center" wrapText="1"/>
    </xf>
    <xf numFmtId="0" fontId="4" fillId="0" borderId="58" xfId="5" applyNumberFormat="1" applyFont="1" applyBorder="1" applyAlignment="1">
      <alignment horizontal="center" vertical="center" wrapText="1"/>
    </xf>
    <xf numFmtId="0" fontId="4" fillId="0" borderId="108" xfId="5" applyNumberFormat="1" applyFont="1" applyBorder="1" applyAlignment="1">
      <alignment horizontal="left" vertical="center" wrapText="1"/>
    </xf>
    <xf numFmtId="0" fontId="4" fillId="0" borderId="56" xfId="5" applyNumberFormat="1" applyFont="1" applyBorder="1" applyAlignment="1">
      <alignment horizontal="left" vertical="center" wrapText="1"/>
    </xf>
    <xf numFmtId="186" fontId="2" fillId="0" borderId="12" xfId="5" applyNumberFormat="1" applyFont="1" applyBorder="1" applyAlignment="1">
      <alignment horizontal="left" vertical="center"/>
    </xf>
    <xf numFmtId="186" fontId="2" fillId="0" borderId="40" xfId="5" applyNumberFormat="1" applyFont="1" applyBorder="1" applyAlignment="1">
      <alignment horizontal="left" vertical="center"/>
    </xf>
    <xf numFmtId="186" fontId="2" fillId="0" borderId="5" xfId="5" applyNumberFormat="1" applyFont="1" applyBorder="1" applyAlignment="1">
      <alignment horizontal="left" vertical="center"/>
    </xf>
    <xf numFmtId="186" fontId="2" fillId="0" borderId="9" xfId="5" applyNumberFormat="1" applyFont="1" applyBorder="1" applyAlignment="1">
      <alignment horizontal="left" vertical="center"/>
    </xf>
    <xf numFmtId="186" fontId="2" fillId="0" borderId="20" xfId="5" applyNumberFormat="1" applyFont="1" applyBorder="1" applyAlignment="1">
      <alignment horizontal="left" vertical="center"/>
    </xf>
    <xf numFmtId="0" fontId="4" fillId="0" borderId="14" xfId="5" applyNumberFormat="1" applyFont="1" applyBorder="1" applyAlignment="1">
      <alignment horizontal="left" vertical="center"/>
    </xf>
    <xf numFmtId="0" fontId="4" fillId="0" borderId="12" xfId="5" applyNumberFormat="1" applyFont="1" applyBorder="1" applyAlignment="1">
      <alignment horizontal="left" vertical="center"/>
    </xf>
    <xf numFmtId="186" fontId="2" fillId="9" borderId="12" xfId="5" applyNumberFormat="1" applyFont="1" applyFill="1" applyBorder="1" applyAlignment="1">
      <alignment horizontal="left" vertical="center"/>
    </xf>
    <xf numFmtId="0" fontId="4" fillId="2" borderId="137" xfId="5" applyNumberFormat="1" applyFont="1" applyFill="1" applyBorder="1" applyAlignment="1">
      <alignment horizontal="center" vertical="center" wrapText="1"/>
    </xf>
    <xf numFmtId="0" fontId="4" fillId="2" borderId="138" xfId="5" applyNumberFormat="1" applyFont="1" applyFill="1" applyBorder="1" applyAlignment="1">
      <alignment horizontal="center" vertical="center" wrapText="1"/>
    </xf>
    <xf numFmtId="0" fontId="4" fillId="2" borderId="139" xfId="5" applyNumberFormat="1" applyFont="1" applyFill="1" applyBorder="1" applyAlignment="1">
      <alignment horizontal="center" vertical="center" wrapText="1"/>
    </xf>
    <xf numFmtId="0" fontId="4" fillId="2" borderId="140" xfId="5" applyNumberFormat="1" applyFont="1" applyFill="1" applyBorder="1" applyAlignment="1">
      <alignment horizontal="center" vertical="center" wrapText="1"/>
    </xf>
    <xf numFmtId="0" fontId="4" fillId="2" borderId="141" xfId="5" applyNumberFormat="1" applyFont="1" applyFill="1" applyBorder="1" applyAlignment="1">
      <alignment horizontal="center" vertical="center" wrapText="1"/>
    </xf>
    <xf numFmtId="0" fontId="4" fillId="2" borderId="142" xfId="5" applyNumberFormat="1" applyFont="1" applyFill="1" applyBorder="1" applyAlignment="1">
      <alignment horizontal="center" vertical="center" wrapText="1"/>
    </xf>
    <xf numFmtId="0" fontId="4" fillId="0" borderId="15" xfId="5" applyNumberFormat="1" applyFont="1" applyBorder="1" applyAlignment="1">
      <alignment horizontal="center" vertical="center" wrapText="1"/>
    </xf>
    <xf numFmtId="0" fontId="4" fillId="2" borderId="143" xfId="5" applyNumberFormat="1" applyFont="1" applyFill="1" applyBorder="1" applyAlignment="1">
      <alignment horizontal="center" vertical="center" wrapText="1"/>
    </xf>
    <xf numFmtId="0" fontId="4" fillId="2" borderId="33" xfId="5" applyNumberFormat="1" applyFont="1" applyFill="1" applyBorder="1" applyAlignment="1">
      <alignment horizontal="center" vertical="center" wrapText="1"/>
    </xf>
    <xf numFmtId="0" fontId="4" fillId="2" borderId="8" xfId="5" applyNumberFormat="1" applyFont="1" applyFill="1" applyBorder="1" applyAlignment="1">
      <alignment horizontal="center" vertical="center" wrapText="1"/>
    </xf>
    <xf numFmtId="0" fontId="4" fillId="2" borderId="80" xfId="5" applyNumberFormat="1" applyFont="1" applyFill="1" applyBorder="1" applyAlignment="1">
      <alignment horizontal="center" vertical="center" wrapText="1"/>
    </xf>
    <xf numFmtId="0" fontId="4" fillId="0" borderId="144" xfId="5" applyNumberFormat="1" applyFont="1" applyBorder="1" applyAlignment="1">
      <alignment horizontal="center" vertical="center" wrapText="1"/>
    </xf>
    <xf numFmtId="0" fontId="4" fillId="2" borderId="145" xfId="5" applyNumberFormat="1" applyFont="1" applyFill="1" applyBorder="1" applyAlignment="1">
      <alignment horizontal="center" vertical="center" wrapText="1"/>
    </xf>
    <xf numFmtId="0" fontId="4" fillId="2" borderId="146" xfId="5" applyNumberFormat="1" applyFont="1" applyFill="1" applyBorder="1" applyAlignment="1">
      <alignment horizontal="center" vertical="center" wrapText="1"/>
    </xf>
    <xf numFmtId="0" fontId="4" fillId="2" borderId="111" xfId="5" applyNumberFormat="1" applyFont="1" applyFill="1" applyBorder="1" applyAlignment="1">
      <alignment horizontal="center" vertical="center" wrapText="1"/>
    </xf>
    <xf numFmtId="0" fontId="4" fillId="2" borderId="117" xfId="5" applyNumberFormat="1" applyFont="1" applyFill="1" applyBorder="1" applyAlignment="1">
      <alignment horizontal="center" vertical="center" wrapText="1"/>
    </xf>
    <xf numFmtId="0" fontId="4" fillId="2" borderId="60" xfId="5" applyNumberFormat="1" applyFont="1" applyFill="1" applyBorder="1" applyAlignment="1">
      <alignment horizontal="center" vertical="center" wrapText="1"/>
    </xf>
    <xf numFmtId="0" fontId="4" fillId="2" borderId="107" xfId="5" applyNumberFormat="1" applyFont="1" applyFill="1" applyBorder="1" applyAlignment="1">
      <alignment horizontal="center" vertical="center" wrapText="1"/>
    </xf>
    <xf numFmtId="0" fontId="4" fillId="2" borderId="147" xfId="5" applyNumberFormat="1" applyFont="1" applyFill="1" applyBorder="1" applyAlignment="1">
      <alignment horizontal="center" vertical="center" wrapText="1"/>
    </xf>
    <xf numFmtId="0" fontId="4" fillId="2" borderId="148" xfId="5" applyNumberFormat="1" applyFont="1" applyFill="1" applyBorder="1" applyAlignment="1">
      <alignment horizontal="center" vertical="center" wrapText="1"/>
    </xf>
    <xf numFmtId="178" fontId="7" fillId="11" borderId="0" xfId="7" applyNumberFormat="1" applyFont="1" applyFill="1" applyAlignment="1">
      <alignment horizontal="left" vertical="center" shrinkToFit="1"/>
    </xf>
    <xf numFmtId="0" fontId="51" fillId="0" borderId="0" xfId="0" applyNumberFormat="1" applyFont="1" applyAlignment="1">
      <alignment horizontal="center" vertical="center"/>
    </xf>
    <xf numFmtId="0" fontId="4" fillId="2" borderId="45" xfId="0" applyNumberFormat="1" applyFont="1" applyFill="1" applyBorder="1" applyAlignment="1">
      <alignment horizontal="center" vertical="center"/>
    </xf>
    <xf numFmtId="0" fontId="4" fillId="2" borderId="29" xfId="0" applyNumberFormat="1" applyFont="1" applyFill="1" applyBorder="1" applyAlignment="1">
      <alignment horizontal="center" vertical="center"/>
    </xf>
    <xf numFmtId="0" fontId="4" fillId="2" borderId="46" xfId="0" applyNumberFormat="1" applyFont="1" applyFill="1" applyBorder="1" applyAlignment="1">
      <alignment horizontal="center" vertical="center"/>
    </xf>
    <xf numFmtId="0" fontId="4" fillId="2" borderId="34" xfId="0" applyNumberFormat="1" applyFont="1" applyFill="1" applyBorder="1" applyAlignment="1">
      <alignment horizontal="center" vertical="center" wrapText="1"/>
    </xf>
    <xf numFmtId="0" fontId="4" fillId="2" borderId="29" xfId="0" applyNumberFormat="1" applyFont="1" applyFill="1" applyBorder="1" applyAlignment="1">
      <alignment horizontal="center" vertical="center" wrapText="1"/>
    </xf>
    <xf numFmtId="0" fontId="4" fillId="2" borderId="30" xfId="0" applyNumberFormat="1" applyFont="1" applyFill="1" applyBorder="1" applyAlignment="1">
      <alignment horizontal="center" vertical="center" wrapText="1"/>
    </xf>
    <xf numFmtId="0" fontId="4" fillId="2" borderId="26" xfId="0" applyNumberFormat="1" applyFont="1" applyFill="1" applyBorder="1" applyAlignment="1">
      <alignment horizontal="center" vertical="center" wrapText="1"/>
    </xf>
    <xf numFmtId="0" fontId="4" fillId="2" borderId="8" xfId="0" applyNumberFormat="1" applyFont="1" applyFill="1" applyBorder="1" applyAlignment="1">
      <alignment horizontal="center" vertical="center" wrapText="1"/>
    </xf>
    <xf numFmtId="0" fontId="4" fillId="2" borderId="24" xfId="0" applyNumberFormat="1" applyFont="1" applyFill="1" applyBorder="1" applyAlignment="1">
      <alignment horizontal="center" vertical="center" wrapText="1"/>
    </xf>
    <xf numFmtId="0" fontId="4" fillId="3" borderId="93" xfId="0" applyNumberFormat="1" applyFont="1" applyFill="1" applyBorder="1" applyAlignment="1">
      <alignment horizontal="center" vertical="center"/>
    </xf>
    <xf numFmtId="0" fontId="4" fillId="3" borderId="2" xfId="0" applyNumberFormat="1" applyFont="1" applyFill="1" applyBorder="1" applyAlignment="1">
      <alignment horizontal="center" vertical="center"/>
    </xf>
    <xf numFmtId="0" fontId="4" fillId="3" borderId="77" xfId="0" applyNumberFormat="1" applyFont="1" applyFill="1" applyBorder="1" applyAlignment="1">
      <alignment horizontal="center" vertical="center"/>
    </xf>
    <xf numFmtId="178" fontId="7" fillId="11" borderId="0" xfId="7" applyNumberFormat="1" applyFont="1" applyFill="1" applyAlignment="1">
      <alignment horizontal="left" vertical="center" wrapText="1" shrinkToFit="1"/>
    </xf>
    <xf numFmtId="0" fontId="4" fillId="7" borderId="127" xfId="3" applyNumberFormat="1" applyFont="1" applyFill="1" applyBorder="1" applyAlignment="1">
      <alignment horizontal="left" vertical="center"/>
    </xf>
    <xf numFmtId="0" fontId="4" fillId="7" borderId="128" xfId="3" applyNumberFormat="1" applyFont="1" applyFill="1" applyBorder="1" applyAlignment="1">
      <alignment horizontal="left" vertical="center"/>
    </xf>
    <xf numFmtId="0" fontId="4" fillId="7" borderId="129" xfId="3" applyNumberFormat="1" applyFont="1" applyFill="1" applyBorder="1" applyAlignment="1">
      <alignment horizontal="left" vertical="center"/>
    </xf>
    <xf numFmtId="178" fontId="7" fillId="11" borderId="0" xfId="7" applyNumberFormat="1" applyFont="1" applyFill="1" applyAlignment="1">
      <alignment horizontal="left" vertical="center" wrapText="1"/>
    </xf>
    <xf numFmtId="0" fontId="2" fillId="0" borderId="20" xfId="8" applyNumberFormat="1" applyFont="1" applyBorder="1" applyAlignment="1">
      <alignment horizontal="left" vertical="center" shrinkToFit="1"/>
    </xf>
    <xf numFmtId="0" fontId="2" fillId="0" borderId="9" xfId="8" applyNumberFormat="1" applyFont="1" applyBorder="1" applyAlignment="1">
      <alignment horizontal="left" vertical="center" shrinkToFit="1"/>
    </xf>
    <xf numFmtId="0" fontId="2" fillId="0" borderId="20" xfId="8" applyNumberFormat="1" applyFont="1" applyBorder="1" applyAlignment="1">
      <alignment horizontal="center" vertical="center" shrinkToFit="1"/>
    </xf>
    <xf numFmtId="0" fontId="2" fillId="0" borderId="9" xfId="8" applyNumberFormat="1" applyFont="1" applyBorder="1" applyAlignment="1">
      <alignment horizontal="center" vertical="center" shrinkToFit="1"/>
    </xf>
    <xf numFmtId="178" fontId="7" fillId="11" borderId="2" xfId="7" applyNumberFormat="1" applyFont="1" applyFill="1" applyBorder="1" applyAlignment="1">
      <alignment horizontal="left" vertical="center" shrinkToFit="1"/>
    </xf>
    <xf numFmtId="0" fontId="5" fillId="11" borderId="32" xfId="0" applyNumberFormat="1" applyFont="1" applyFill="1" applyBorder="1" applyAlignment="1">
      <alignment horizontal="left" vertical="center" shrinkToFit="1"/>
    </xf>
    <xf numFmtId="0" fontId="5" fillId="11" borderId="5" xfId="0" applyNumberFormat="1" applyFont="1" applyFill="1" applyBorder="1" applyAlignment="1">
      <alignment horizontal="left" vertical="center" shrinkToFit="1"/>
    </xf>
    <xf numFmtId="0" fontId="5" fillId="11" borderId="9" xfId="0" applyNumberFormat="1" applyFont="1" applyFill="1" applyBorder="1" applyAlignment="1">
      <alignment horizontal="left" vertical="center" shrinkToFit="1"/>
    </xf>
    <xf numFmtId="0" fontId="5" fillId="0" borderId="20" xfId="0" applyNumberFormat="1" applyFont="1" applyBorder="1" applyAlignment="1">
      <alignment horizontal="left" vertical="center"/>
    </xf>
    <xf numFmtId="0" fontId="5" fillId="0" borderId="5" xfId="0" applyNumberFormat="1" applyFont="1" applyBorder="1" applyAlignment="1">
      <alignment horizontal="left" vertical="center"/>
    </xf>
    <xf numFmtId="0" fontId="5" fillId="0" borderId="9" xfId="0" applyNumberFormat="1" applyFont="1" applyBorder="1" applyAlignment="1">
      <alignment horizontal="left" vertical="center"/>
    </xf>
    <xf numFmtId="0" fontId="5" fillId="11" borderId="32" xfId="5" applyNumberFormat="1" applyFont="1" applyFill="1" applyBorder="1" applyAlignment="1">
      <alignment horizontal="left" vertical="center" shrinkToFit="1"/>
    </xf>
    <xf numFmtId="0" fontId="5" fillId="11" borderId="5" xfId="5" applyNumberFormat="1" applyFont="1" applyFill="1" applyBorder="1" applyAlignment="1">
      <alignment horizontal="left" vertical="center" shrinkToFit="1"/>
    </xf>
    <xf numFmtId="0" fontId="5" fillId="11" borderId="9" xfId="5" applyNumberFormat="1" applyFont="1" applyFill="1" applyBorder="1" applyAlignment="1">
      <alignment horizontal="left" vertical="center" shrinkToFit="1"/>
    </xf>
    <xf numFmtId="0" fontId="3" fillId="0" borderId="6" xfId="0" applyNumberFormat="1" applyFont="1" applyFill="1" applyBorder="1" applyAlignment="1" applyProtection="1">
      <alignment horizontal="center" vertical="center"/>
    </xf>
    <xf numFmtId="0" fontId="3" fillId="0" borderId="17" xfId="0" applyNumberFormat="1" applyFont="1" applyFill="1" applyBorder="1" applyAlignment="1" applyProtection="1">
      <alignment horizontal="center" vertical="center"/>
    </xf>
    <xf numFmtId="0" fontId="32" fillId="0" borderId="0" xfId="0" applyNumberFormat="1" applyFont="1" applyAlignment="1">
      <alignment horizontal="center" vertical="center"/>
    </xf>
    <xf numFmtId="0" fontId="5" fillId="2" borderId="127" xfId="0" applyNumberFormat="1" applyFont="1" applyFill="1" applyBorder="1" applyAlignment="1">
      <alignment horizontal="center" vertical="center"/>
    </xf>
    <xf numFmtId="0" fontId="5" fillId="2" borderId="128" xfId="0" applyNumberFormat="1" applyFont="1" applyFill="1" applyBorder="1" applyAlignment="1">
      <alignment horizontal="center" vertical="center"/>
    </xf>
    <xf numFmtId="0" fontId="5" fillId="2" borderId="129" xfId="0" applyNumberFormat="1" applyFont="1" applyFill="1" applyBorder="1" applyAlignment="1">
      <alignment horizontal="center" vertical="center"/>
    </xf>
    <xf numFmtId="0" fontId="5" fillId="2" borderId="34" xfId="0" applyNumberFormat="1" applyFont="1" applyFill="1" applyBorder="1" applyAlignment="1">
      <alignment horizontal="center" vertical="center" wrapText="1"/>
    </xf>
    <xf numFmtId="0" fontId="5" fillId="2" borderId="29" xfId="0" applyNumberFormat="1" applyFont="1" applyFill="1" applyBorder="1" applyAlignment="1">
      <alignment horizontal="center" vertical="center" wrapText="1"/>
    </xf>
    <xf numFmtId="0" fontId="5" fillId="2" borderId="30" xfId="0" applyNumberFormat="1" applyFont="1" applyFill="1" applyBorder="1" applyAlignment="1">
      <alignment horizontal="center" vertical="center" wrapText="1"/>
    </xf>
    <xf numFmtId="0" fontId="5" fillId="2" borderId="35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  <xf numFmtId="0" fontId="5" fillId="2" borderId="13" xfId="0" applyNumberFormat="1" applyFont="1" applyFill="1" applyBorder="1" applyAlignment="1">
      <alignment horizontal="center" vertical="center" wrapText="1"/>
    </xf>
    <xf numFmtId="0" fontId="5" fillId="3" borderId="149" xfId="0" applyNumberFormat="1" applyFont="1" applyFill="1" applyBorder="1" applyAlignment="1">
      <alignment horizontal="center" vertical="center"/>
    </xf>
    <xf numFmtId="0" fontId="5" fillId="3" borderId="38" xfId="0" applyNumberFormat="1" applyFont="1" applyFill="1" applyBorder="1" applyAlignment="1">
      <alignment horizontal="center" vertical="center"/>
    </xf>
    <xf numFmtId="0" fontId="5" fillId="3" borderId="150" xfId="0" applyNumberFormat="1" applyFont="1" applyFill="1" applyBorder="1" applyAlignment="1">
      <alignment horizontal="center" vertical="center"/>
    </xf>
    <xf numFmtId="178" fontId="7" fillId="0" borderId="0" xfId="0" applyNumberFormat="1" applyFont="1" applyBorder="1" applyAlignment="1">
      <alignment horizontal="left" vertical="center" shrinkToFit="1"/>
    </xf>
    <xf numFmtId="0" fontId="2" fillId="0" borderId="96" xfId="5" applyNumberFormat="1" applyFont="1" applyBorder="1" applyAlignment="1">
      <alignment horizontal="center" vertical="center" wrapText="1"/>
    </xf>
    <xf numFmtId="0" fontId="2" fillId="0" borderId="94" xfId="5" applyNumberFormat="1" applyFont="1" applyBorder="1" applyAlignment="1">
      <alignment horizontal="center" vertical="center" wrapText="1"/>
    </xf>
    <xf numFmtId="0" fontId="2" fillId="0" borderId="103" xfId="5" applyNumberFormat="1" applyFont="1" applyBorder="1" applyAlignment="1">
      <alignment horizontal="center" vertical="center" wrapText="1"/>
    </xf>
    <xf numFmtId="0" fontId="2" fillId="0" borderId="95" xfId="5" applyNumberFormat="1" applyFont="1" applyBorder="1" applyAlignment="1">
      <alignment horizontal="center" vertical="center" wrapText="1"/>
    </xf>
    <xf numFmtId="0" fontId="2" fillId="0" borderId="155" xfId="5" applyNumberFormat="1" applyFont="1" applyBorder="1" applyAlignment="1">
      <alignment horizontal="center" vertical="center" wrapText="1"/>
    </xf>
    <xf numFmtId="177" fontId="4" fillId="2" borderId="151" xfId="5" applyNumberFormat="1" applyFont="1" applyFill="1" applyBorder="1" applyAlignment="1">
      <alignment horizontal="center" vertical="center" wrapText="1"/>
    </xf>
    <xf numFmtId="177" fontId="4" fillId="2" borderId="67" xfId="5" applyNumberFormat="1" applyFont="1" applyFill="1" applyBorder="1" applyAlignment="1">
      <alignment horizontal="center" vertical="center" wrapText="1"/>
    </xf>
    <xf numFmtId="190" fontId="4" fillId="2" borderId="151" xfId="5" applyNumberFormat="1" applyFont="1" applyFill="1" applyBorder="1" applyAlignment="1">
      <alignment horizontal="center" vertical="center" shrinkToFit="1"/>
    </xf>
    <xf numFmtId="190" fontId="4" fillId="2" borderId="67" xfId="5" applyNumberFormat="1" applyFont="1" applyFill="1" applyBorder="1" applyAlignment="1">
      <alignment horizontal="center" vertical="center" shrinkToFit="1"/>
    </xf>
    <xf numFmtId="177" fontId="4" fillId="2" borderId="152" xfId="5" applyNumberFormat="1" applyFont="1" applyFill="1" applyBorder="1" applyAlignment="1">
      <alignment horizontal="center" vertical="center" wrapText="1"/>
    </xf>
    <xf numFmtId="177" fontId="4" fillId="2" borderId="68" xfId="5" applyNumberFormat="1" applyFont="1" applyFill="1" applyBorder="1" applyAlignment="1">
      <alignment horizontal="center" vertical="center" wrapText="1"/>
    </xf>
    <xf numFmtId="0" fontId="2" fillId="0" borderId="131" xfId="5" applyNumberFormat="1" applyFont="1" applyBorder="1" applyAlignment="1">
      <alignment horizontal="center" vertical="center" wrapText="1"/>
    </xf>
    <xf numFmtId="0" fontId="2" fillId="0" borderId="56" xfId="5" applyNumberFormat="1" applyFont="1" applyBorder="1" applyAlignment="1">
      <alignment horizontal="center" vertical="center" wrapText="1"/>
    </xf>
    <xf numFmtId="0" fontId="4" fillId="2" borderId="66" xfId="5" applyNumberFormat="1" applyFont="1" applyFill="1" applyBorder="1" applyAlignment="1">
      <alignment horizontal="center" vertical="center" wrapText="1"/>
    </xf>
    <xf numFmtId="0" fontId="2" fillId="0" borderId="153" xfId="5" applyNumberFormat="1" applyFont="1" applyBorder="1" applyAlignment="1">
      <alignment horizontal="center" vertical="center" wrapText="1"/>
    </xf>
    <xf numFmtId="0" fontId="2" fillId="0" borderId="154" xfId="5" applyNumberFormat="1" applyFont="1" applyBorder="1" applyAlignment="1">
      <alignment horizontal="center" vertical="center" wrapText="1"/>
    </xf>
    <xf numFmtId="0" fontId="2" fillId="2" borderId="45" xfId="5" applyNumberFormat="1" applyFont="1" applyFill="1" applyBorder="1" applyAlignment="1">
      <alignment horizontal="center" vertical="center" wrapText="1"/>
    </xf>
    <xf numFmtId="0" fontId="2" fillId="2" borderId="143" xfId="5" applyNumberFormat="1" applyFont="1" applyFill="1" applyBorder="1" applyAlignment="1">
      <alignment horizontal="center" vertical="center" wrapText="1"/>
    </xf>
    <xf numFmtId="0" fontId="2" fillId="2" borderId="23" xfId="5" applyNumberFormat="1" applyFont="1" applyFill="1" applyBorder="1" applyAlignment="1">
      <alignment horizontal="center" vertical="center" wrapText="1"/>
    </xf>
    <xf numFmtId="0" fontId="2" fillId="2" borderId="66" xfId="5" applyNumberFormat="1" applyFont="1" applyFill="1" applyBorder="1" applyAlignment="1">
      <alignment horizontal="center" vertical="center" wrapText="1"/>
    </xf>
    <xf numFmtId="0" fontId="2" fillId="2" borderId="111" xfId="5" applyNumberFormat="1" applyFont="1" applyFill="1" applyBorder="1" applyAlignment="1">
      <alignment horizontal="center" vertical="center" wrapText="1"/>
    </xf>
    <xf numFmtId="0" fontId="2" fillId="2" borderId="60" xfId="5" applyNumberFormat="1" applyFont="1" applyFill="1" applyBorder="1" applyAlignment="1">
      <alignment horizontal="center" vertical="center" wrapText="1"/>
    </xf>
    <xf numFmtId="0" fontId="4" fillId="2" borderId="39" xfId="5" applyNumberFormat="1" applyFont="1" applyFill="1" applyBorder="1" applyAlignment="1">
      <alignment horizontal="center" vertical="center" wrapText="1"/>
    </xf>
    <xf numFmtId="0" fontId="4" fillId="2" borderId="14" xfId="5" applyNumberFormat="1" applyFont="1" applyFill="1" applyBorder="1" applyAlignment="1">
      <alignment horizontal="center" vertical="center" wrapText="1"/>
    </xf>
    <xf numFmtId="0" fontId="4" fillId="2" borderId="41" xfId="5" applyNumberFormat="1" applyFont="1" applyFill="1" applyBorder="1" applyAlignment="1">
      <alignment horizontal="center" vertical="center" wrapText="1"/>
    </xf>
    <xf numFmtId="0" fontId="4" fillId="2" borderId="42" xfId="5" applyNumberFormat="1" applyFont="1" applyFill="1" applyBorder="1" applyAlignment="1">
      <alignment horizontal="center" vertical="center" wrapText="1"/>
    </xf>
    <xf numFmtId="0" fontId="4" fillId="2" borderId="16" xfId="5" applyNumberFormat="1" applyFont="1" applyFill="1" applyBorder="1" applyAlignment="1">
      <alignment horizontal="center" vertical="center" wrapText="1"/>
    </xf>
    <xf numFmtId="0" fontId="2" fillId="0" borderId="14" xfId="0" applyNumberFormat="1" applyFont="1" applyBorder="1" applyAlignment="1">
      <alignment horizontal="center" vertical="center" wrapText="1"/>
    </xf>
    <xf numFmtId="0" fontId="2" fillId="0" borderId="52" xfId="0" applyNumberFormat="1" applyFont="1" applyBorder="1" applyAlignment="1">
      <alignment horizontal="center" vertical="center" wrapText="1"/>
    </xf>
    <xf numFmtId="0" fontId="2" fillId="0" borderId="12" xfId="0" applyNumberFormat="1" applyFont="1" applyBorder="1" applyAlignment="1">
      <alignment horizontal="center" vertical="center" wrapText="1"/>
    </xf>
    <xf numFmtId="0" fontId="2" fillId="0" borderId="43" xfId="0" applyNumberFormat="1" applyFont="1" applyBorder="1" applyAlignment="1">
      <alignment horizontal="center" vertical="center" wrapText="1"/>
    </xf>
    <xf numFmtId="0" fontId="4" fillId="2" borderId="40" xfId="0" applyNumberFormat="1" applyFont="1" applyFill="1" applyBorder="1" applyAlignment="1">
      <alignment horizontal="center" vertical="center" wrapText="1"/>
    </xf>
    <xf numFmtId="0" fontId="4" fillId="2" borderId="41" xfId="0" applyNumberFormat="1" applyFont="1" applyFill="1" applyBorder="1" applyAlignment="1">
      <alignment horizontal="center" vertical="center" wrapText="1"/>
    </xf>
    <xf numFmtId="0" fontId="4" fillId="2" borderId="42" xfId="0" applyNumberFormat="1" applyFont="1" applyFill="1" applyBorder="1" applyAlignment="1">
      <alignment horizontal="center" vertical="center" wrapText="1"/>
    </xf>
    <xf numFmtId="0" fontId="4" fillId="2" borderId="12" xfId="0" applyNumberFormat="1" applyFont="1" applyFill="1" applyBorder="1" applyAlignment="1">
      <alignment horizontal="center" vertical="center" wrapText="1"/>
    </xf>
    <xf numFmtId="0" fontId="4" fillId="2" borderId="39" xfId="0" applyNumberFormat="1" applyFont="1" applyFill="1" applyBorder="1" applyAlignment="1">
      <alignment horizontal="center" vertical="center" wrapText="1"/>
    </xf>
    <xf numFmtId="0" fontId="4" fillId="2" borderId="14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Alignment="1">
      <alignment horizontal="right" vertical="center"/>
    </xf>
    <xf numFmtId="0" fontId="5" fillId="2" borderId="39" xfId="0" applyNumberFormat="1" applyFont="1" applyFill="1" applyBorder="1" applyAlignment="1">
      <alignment horizontal="center" vertical="center"/>
    </xf>
    <xf numFmtId="0" fontId="5" fillId="2" borderId="14" xfId="0" applyNumberFormat="1" applyFont="1" applyFill="1" applyBorder="1" applyAlignment="1">
      <alignment horizontal="center" vertical="center"/>
    </xf>
    <xf numFmtId="0" fontId="5" fillId="2" borderId="40" xfId="0" applyNumberFormat="1" applyFont="1" applyFill="1" applyBorder="1" applyAlignment="1">
      <alignment horizontal="center" vertical="center"/>
    </xf>
    <xf numFmtId="0" fontId="2" fillId="9" borderId="28" xfId="8" applyNumberFormat="1" applyFont="1" applyFill="1" applyBorder="1" applyAlignment="1" applyProtection="1">
      <alignment horizontal="center" vertical="center" wrapText="1"/>
    </xf>
    <xf numFmtId="0" fontId="2" fillId="9" borderId="11" xfId="8" applyNumberFormat="1" applyFont="1" applyFill="1" applyBorder="1" applyAlignment="1" applyProtection="1">
      <alignment horizontal="center" vertical="center" wrapText="1"/>
    </xf>
    <xf numFmtId="0" fontId="2" fillId="9" borderId="156" xfId="8" applyNumberFormat="1" applyFont="1" applyFill="1" applyBorder="1" applyAlignment="1" applyProtection="1">
      <alignment horizontal="center" vertical="center" wrapText="1"/>
    </xf>
    <xf numFmtId="0" fontId="2" fillId="9" borderId="1" xfId="8" applyNumberFormat="1" applyFont="1" applyFill="1" applyBorder="1" applyAlignment="1" applyProtection="1">
      <alignment horizontal="center" vertical="center" wrapText="1"/>
    </xf>
    <xf numFmtId="0" fontId="2" fillId="9" borderId="10" xfId="8" applyNumberFormat="1" applyFont="1" applyFill="1" applyBorder="1" applyAlignment="1" applyProtection="1">
      <alignment horizontal="center" vertical="center" wrapText="1"/>
    </xf>
    <xf numFmtId="0" fontId="2" fillId="9" borderId="157" xfId="8" applyNumberFormat="1" applyFont="1" applyFill="1" applyBorder="1" applyAlignment="1" applyProtection="1">
      <alignment horizontal="center" vertical="center" wrapText="1"/>
    </xf>
    <xf numFmtId="178" fontId="2" fillId="9" borderId="1" xfId="8" applyNumberFormat="1" applyFont="1" applyFill="1" applyBorder="1" applyAlignment="1" applyProtection="1">
      <alignment horizontal="center" vertical="center" wrapText="1"/>
    </xf>
    <xf numFmtId="178" fontId="2" fillId="9" borderId="10" xfId="8" quotePrefix="1" applyNumberFormat="1" applyFont="1" applyFill="1" applyBorder="1" applyAlignment="1" applyProtection="1">
      <alignment horizontal="center" vertical="center" wrapText="1"/>
    </xf>
    <xf numFmtId="178" fontId="2" fillId="9" borderId="157" xfId="8" quotePrefix="1" applyNumberFormat="1" applyFont="1" applyFill="1" applyBorder="1" applyAlignment="1" applyProtection="1">
      <alignment horizontal="center" vertical="center" wrapText="1"/>
    </xf>
    <xf numFmtId="41" fontId="2" fillId="9" borderId="158" xfId="9" applyNumberFormat="1" applyFont="1" applyFill="1" applyBorder="1" applyAlignment="1" applyProtection="1">
      <alignment horizontal="center" vertical="center" wrapText="1"/>
    </xf>
    <xf numFmtId="41" fontId="2" fillId="9" borderId="89" xfId="9" applyNumberFormat="1" applyFont="1" applyFill="1" applyBorder="1" applyAlignment="1" applyProtection="1">
      <alignment horizontal="center" vertical="center" wrapText="1"/>
    </xf>
    <xf numFmtId="41" fontId="2" fillId="9" borderId="159" xfId="9" applyNumberFormat="1" applyFont="1" applyFill="1" applyBorder="1" applyAlignment="1" applyProtection="1">
      <alignment horizontal="center" vertical="center" wrapText="1"/>
    </xf>
    <xf numFmtId="177" fontId="34" fillId="9" borderId="1" xfId="11" applyNumberFormat="1" applyFont="1" applyFill="1" applyBorder="1" applyAlignment="1" applyProtection="1">
      <alignment horizontal="right" vertical="center" shrinkToFit="1"/>
    </xf>
    <xf numFmtId="177" fontId="34" fillId="9" borderId="10" xfId="11" applyNumberFormat="1" applyFont="1" applyFill="1" applyBorder="1" applyAlignment="1" applyProtection="1">
      <alignment horizontal="right" vertical="center" shrinkToFit="1"/>
    </xf>
    <xf numFmtId="177" fontId="34" fillId="9" borderId="157" xfId="11" applyNumberFormat="1" applyFont="1" applyFill="1" applyBorder="1" applyAlignment="1" applyProtection="1">
      <alignment horizontal="right" vertical="center" shrinkToFit="1"/>
    </xf>
    <xf numFmtId="0" fontId="34" fillId="9" borderId="11" xfId="8" applyNumberFormat="1" applyFont="1" applyFill="1" applyBorder="1" applyAlignment="1" applyProtection="1">
      <alignment horizontal="center" vertical="center" wrapText="1"/>
    </xf>
    <xf numFmtId="0" fontId="34" fillId="9" borderId="31" xfId="8" applyNumberFormat="1" applyFont="1" applyFill="1" applyBorder="1" applyAlignment="1" applyProtection="1">
      <alignment horizontal="center" vertical="center" wrapText="1"/>
    </xf>
    <xf numFmtId="0" fontId="34" fillId="9" borderId="10" xfId="8" applyNumberFormat="1" applyFont="1" applyFill="1" applyBorder="1" applyAlignment="1" applyProtection="1">
      <alignment horizontal="center" vertical="center" wrapText="1"/>
    </xf>
    <xf numFmtId="0" fontId="34" fillId="9" borderId="3" xfId="8" applyNumberFormat="1" applyFont="1" applyFill="1" applyBorder="1" applyAlignment="1" applyProtection="1">
      <alignment horizontal="center" vertical="center" wrapText="1"/>
    </xf>
    <xf numFmtId="178" fontId="34" fillId="9" borderId="10" xfId="8" applyNumberFormat="1" applyFont="1" applyFill="1" applyBorder="1" applyAlignment="1" applyProtection="1">
      <alignment horizontal="center" vertical="center" wrapText="1"/>
    </xf>
    <xf numFmtId="178" fontId="34" fillId="9" borderId="3" xfId="8" applyNumberFormat="1" applyFont="1" applyFill="1" applyBorder="1" applyAlignment="1" applyProtection="1">
      <alignment horizontal="center" vertical="center" wrapText="1"/>
    </xf>
    <xf numFmtId="41" fontId="2" fillId="9" borderId="78" xfId="9" applyNumberFormat="1" applyFont="1" applyFill="1" applyBorder="1" applyAlignment="1" applyProtection="1">
      <alignment horizontal="center" vertical="center" wrapText="1"/>
    </xf>
    <xf numFmtId="177" fontId="34" fillId="9" borderId="3" xfId="11" applyNumberFormat="1" applyFont="1" applyFill="1" applyBorder="1" applyAlignment="1" applyProtection="1">
      <alignment horizontal="right" vertical="center" shrinkToFit="1"/>
    </xf>
    <xf numFmtId="41" fontId="2" fillId="9" borderId="42" xfId="9" applyNumberFormat="1" applyFont="1" applyFill="1" applyBorder="1" applyAlignment="1">
      <alignment horizontal="center" vertical="center" wrapText="1"/>
    </xf>
    <xf numFmtId="0" fontId="2" fillId="9" borderId="14" xfId="8" applyNumberFormat="1" applyFont="1" applyFill="1" applyBorder="1" applyAlignment="1">
      <alignment horizontal="center" vertical="center" wrapText="1"/>
    </xf>
    <xf numFmtId="0" fontId="2" fillId="9" borderId="12" xfId="8" applyNumberFormat="1" applyFont="1" applyFill="1" applyBorder="1" applyAlignment="1">
      <alignment horizontal="center" vertical="center" wrapText="1"/>
    </xf>
    <xf numFmtId="178" fontId="2" fillId="9" borderId="12" xfId="8" applyNumberFormat="1" applyFont="1" applyFill="1" applyBorder="1" applyAlignment="1">
      <alignment horizontal="center" vertical="center" wrapText="1"/>
    </xf>
    <xf numFmtId="178" fontId="2" fillId="9" borderId="12" xfId="8" quotePrefix="1" applyNumberFormat="1" applyFont="1" applyFill="1" applyBorder="1" applyAlignment="1">
      <alignment horizontal="center" vertical="center" wrapText="1"/>
    </xf>
    <xf numFmtId="177" fontId="2" fillId="9" borderId="12" xfId="11" applyNumberFormat="1" applyFont="1" applyFill="1" applyBorder="1" applyAlignment="1">
      <alignment horizontal="right" vertical="center" shrinkToFit="1"/>
    </xf>
    <xf numFmtId="0" fontId="5" fillId="2" borderId="1" xfId="0" applyNumberFormat="1" applyFont="1" applyFill="1" applyBorder="1" applyAlignment="1">
      <alignment horizontal="center" vertical="center" wrapText="1"/>
    </xf>
    <xf numFmtId="0" fontId="5" fillId="2" borderId="10" xfId="0" applyNumberFormat="1" applyFont="1" applyFill="1" applyBorder="1" applyAlignment="1">
      <alignment horizontal="center" vertical="center" wrapText="1"/>
    </xf>
    <xf numFmtId="0" fontId="5" fillId="2" borderId="15" xfId="0" applyNumberFormat="1" applyFont="1" applyFill="1" applyBorder="1" applyAlignment="1">
      <alignment horizontal="center" vertical="center" wrapText="1"/>
    </xf>
    <xf numFmtId="0" fontId="5" fillId="2" borderId="40" xfId="0" applyNumberFormat="1" applyFont="1" applyFill="1" applyBorder="1" applyAlignment="1">
      <alignment horizontal="center" vertical="center" wrapText="1"/>
    </xf>
    <xf numFmtId="0" fontId="5" fillId="2" borderId="12" xfId="0" applyNumberFormat="1" applyFont="1" applyFill="1" applyBorder="1" applyAlignment="1">
      <alignment horizontal="center" vertical="center" wrapText="1"/>
    </xf>
    <xf numFmtId="181" fontId="5" fillId="2" borderId="40" xfId="0" applyNumberFormat="1" applyFont="1" applyFill="1" applyBorder="1" applyAlignment="1">
      <alignment horizontal="center" vertical="center" wrapText="1"/>
    </xf>
    <xf numFmtId="0" fontId="5" fillId="2" borderId="41" xfId="0" applyNumberFormat="1" applyFont="1" applyFill="1" applyBorder="1" applyAlignment="1">
      <alignment horizontal="center" vertical="center" wrapText="1"/>
    </xf>
    <xf numFmtId="0" fontId="5" fillId="2" borderId="16" xfId="0" applyNumberFormat="1" applyFont="1" applyFill="1" applyBorder="1" applyAlignment="1">
      <alignment horizontal="center" vertical="center" wrapText="1"/>
    </xf>
    <xf numFmtId="184" fontId="5" fillId="2" borderId="12" xfId="0" applyNumberFormat="1" applyFont="1" applyFill="1" applyBorder="1" applyAlignment="1">
      <alignment horizontal="center" vertical="center" wrapText="1"/>
    </xf>
  </cellXfs>
  <cellStyles count="15">
    <cellStyle name="쉼표 [0]" xfId="1" builtinId="6"/>
    <cellStyle name="쉼표 [0] 10 2" xfId="11"/>
    <cellStyle name="쉼표 [0] 11 2 3 2 2" xfId="10"/>
    <cellStyle name="쉼표 [0] 2" xfId="12"/>
    <cellStyle name="쉼표 [0] 2 10" xfId="13"/>
    <cellStyle name="쉼표 [0] 2 2 2 2 2" xfId="4"/>
    <cellStyle name="쉼표 [0] 2 3 2" xfId="9"/>
    <cellStyle name="표준" xfId="0" builtinId="0"/>
    <cellStyle name="표준 10 2 2" xfId="5"/>
    <cellStyle name="표준 2" xfId="2"/>
    <cellStyle name="표준 2 2" xfId="6"/>
    <cellStyle name="표준 2 2 3 2" xfId="8"/>
    <cellStyle name="표준 2 4 2 2" xfId="3"/>
    <cellStyle name="표준 3 2 2 2" xfId="7"/>
    <cellStyle name="표준 6" xfId="14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400050</xdr:colOff>
      <xdr:row>21</xdr:row>
      <xdr:rowOff>104775</xdr:rowOff>
    </xdr:from>
    <xdr:to>
      <xdr:col>10</xdr:col>
      <xdr:colOff>285750</xdr:colOff>
      <xdr:row>23</xdr:row>
      <xdr:rowOff>180975</xdr:rowOff>
    </xdr:to>
    <xdr:pic>
      <xdr:nvPicPr>
        <xdr:cNvPr id="2" name="그림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010" t="44730" r="11520" b="44240"/>
        <a:stretch>
          <a:fillRect/>
        </a:stretch>
      </xdr:blipFill>
      <xdr:spPr>
        <a:xfrm>
          <a:off x="3063875" y="5016499"/>
          <a:ext cx="3222624" cy="730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44</xdr:col>
      <xdr:colOff>400050</xdr:colOff>
      <xdr:row>63</xdr:row>
      <xdr:rowOff>57150</xdr:rowOff>
    </xdr:to>
    <xdr:sp macro="" textlink="">
      <xdr:nvSpPr>
        <xdr:cNvPr id="2" name="직사각형 1" hidden="1"/>
        <xdr:cNvSpPr/>
      </xdr:nvSpPr>
      <xdr:spPr>
        <a:xfrm>
          <a:off x="0" y="0"/>
          <a:ext cx="9934575" cy="11839575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overflow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44</xdr:col>
      <xdr:colOff>400050</xdr:colOff>
      <xdr:row>63</xdr:row>
      <xdr:rowOff>57150</xdr:rowOff>
    </xdr:to>
    <xdr:sp macro="" textlink="">
      <xdr:nvSpPr>
        <xdr:cNvPr id="3" name="직사각형 2" hidden="1"/>
        <xdr:cNvSpPr/>
      </xdr:nvSpPr>
      <xdr:spPr>
        <a:xfrm>
          <a:off x="0" y="0"/>
          <a:ext cx="9934575" cy="11839575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overflow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2" name="직사각형 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3" name="직사각형 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" name="직사각형 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" name="직사각형 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" name="직사각형 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" name="직사각형 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" name="직사각형 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" name="직사각형 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" name="직사각형 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" name="직사각형 1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" name="직사각형 1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3" name="직사각형 1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4" name="직사각형 1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" name="직사각형 1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" name="직사각형 1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7" name="직사각형 1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8" name="직사각형 1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9" name="직사각형 1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20" name="직사각형 1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21" name="직사각형 2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22" name="직사각형 2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23" name="직사각형 2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24" name="직사각형 2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25" name="직사각형 2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26" name="직사각형 2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27" name="직사각형 2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28" name="직사각형 2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29" name="직사각형 2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30" name="직사각형 2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31" name="직사각형 3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32" name="직사각형 3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33" name="직사각형 3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34" name="직사각형 3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35" name="직사각형 3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36" name="직사각형 3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37" name="직사각형 3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38" name="직사각형 3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39" name="직사각형 3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0" name="직사각형 3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1" name="직사각형 4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2" name="직사각형 4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3" name="직사각형 4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4" name="직사각형 4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5" name="직사각형 4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6" name="직사각형 4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7" name="직사각형 4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8" name="직사각형 4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9" name="직사각형 4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0" name="직사각형 4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1" name="직사각형 5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2" name="직사각형 5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3" name="직사각형 5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4" name="직사각형 5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" name="직사각형 5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" name="직사각형 5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" name="직사각형 5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" name="직사각형 5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" name="직사각형 5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" name="직사각형 5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1" name="직사각형 6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2" name="직사각형 6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3" name="직사각형 6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4" name="직사각형 6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5" name="직사각형 6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6" name="직사각형 6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7" name="직사각형 6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8" name="직사각형 6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9" name="직사각형 6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0" name="직사각형 6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1" name="직사각형 7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2" name="직사각형 7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3" name="직사각형 7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4" name="직사각형 7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5" name="직사각형 7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6" name="직사각형 7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7" name="직사각형 7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8" name="직사각형 7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9" name="직사각형 7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0" name="직사각형 7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1" name="직사각형 8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2" name="직사각형 8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3" name="직사각형 8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4" name="직사각형 8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5" name="직사각형 8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6" name="직사각형 8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7" name="직사각형 8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8" name="직사각형 8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9" name="직사각형 8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0" name="직사각형 8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1" name="직사각형 9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2" name="직사각형 9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3" name="직사각형 9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4" name="직사각형 9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5" name="직사각형 9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6" name="직사각형 9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7" name="직사각형 9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8" name="직사각형 9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9" name="직사각형 9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0" name="직사각형 9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1" name="직사각형 10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2" name="직사각형 10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3" name="직사각형 10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4" name="직사각형 10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5" name="직사각형 10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6" name="직사각형 10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7" name="직사각형 10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8" name="직사각형 10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9" name="직사각형 10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0" name="직사각형 10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1" name="직사각형 11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2" name="직사각형 11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3" name="직사각형 11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4" name="직사각형 11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5" name="직사각형 11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6" name="직사각형 11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7" name="직사각형 11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8" name="직사각형 11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9" name="직사각형 11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0" name="직사각형 11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1" name="직사각형 12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2" name="직사각형 12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3" name="직사각형 12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4" name="직사각형 12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5" name="직사각형 12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6" name="직사각형 12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7" name="직사각형 12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8" name="직사각형 12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9" name="직사각형 12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30" name="직사각형 12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31" name="직사각형 13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32" name="직사각형 13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33" name="직사각형 13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34" name="직사각형 13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35" name="직사각형 13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36" name="직사각형 13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37" name="직사각형 13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38" name="직사각형 13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39" name="직사각형 13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40" name="직사각형 13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41" name="직사각형 14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42" name="직사각형 14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43" name="직사각형 14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44" name="직사각형 14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45" name="직사각형 14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46" name="직사각형 14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47" name="직사각형 14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48" name="직사각형 14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49" name="직사각형 14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0" name="직사각형 14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1" name="직사각형 15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2" name="직사각형 15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3" name="직사각형 15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4" name="직사각형 15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5" name="직사각형 15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6" name="직사각형 15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7" name="직사각형 15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8" name="직사각형 15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9" name="직사각형 15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0" name="직사각형 15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1" name="직사각형 16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2" name="직사각형 16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3" name="직사각형 16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4" name="직사각형 16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5" name="직사각형 16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6" name="직사각형 16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7" name="직사각형 16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8" name="직사각형 16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9" name="직사각형 16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70" name="직사각형 16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71" name="직사각형 17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72" name="직사각형 17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73" name="직사각형 17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74" name="직사각형 17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75" name="직사각형 17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76" name="직사각형 17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77" name="직사각형 17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78" name="직사각형 17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79" name="직사각형 17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80" name="직사각형 17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81" name="직사각형 18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82" name="직사각형 18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83" name="직사각형 18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84" name="직사각형 18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85" name="직사각형 18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86" name="직사각형 18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87" name="직사각형 18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88" name="직사각형 18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89" name="직사각형 18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90" name="직사각형 18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91" name="직사각형 19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92" name="직사각형 19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93" name="직사각형 19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94" name="직사각형 19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95" name="직사각형 19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96" name="직사각형 19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97" name="직사각형 19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98" name="직사각형 19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99" name="직사각형 19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200" name="직사각형 19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201" name="직사각형 20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202" name="직사각형 20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203" name="직사각형 20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204" name="직사각형 20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205" name="직사각형 20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206" name="직사각형 20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207" name="직사각형 20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208" name="직사각형 20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209" name="직사각형 20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210" name="직사각형 20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211" name="직사각형 21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212" name="직사각형 21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213" name="직사각형 21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214" name="직사각형 21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215" name="직사각형 21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216" name="직사각형 21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217" name="직사각형 21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218" name="직사각형 21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219" name="직사각형 21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220" name="직사각형 21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221" name="직사각형 22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222" name="직사각형 22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223" name="직사각형 22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224" name="직사각형 22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225" name="직사각형 22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226" name="직사각형 22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227" name="직사각형 22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228" name="직사각형 22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229" name="직사각형 22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30" name="직사각형 229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31" name="직사각형 230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32" name="직사각형 231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33" name="직사각형 232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34" name="직사각형 233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35" name="직사각형 234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36" name="직사각형 235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37" name="직사각형 236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38" name="직사각형 237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39" name="직사각형 238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40" name="직사각형 239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41" name="직사각형 240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42" name="직사각형 241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43" name="직사각형 242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44" name="직사각형 243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45" name="직사각형 244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46" name="직사각형 245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47" name="직사각형 246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48" name="직사각형 247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49" name="직사각형 248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50" name="직사각형 249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51" name="직사각형 250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52" name="직사각형 251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53" name="직사각형 252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54" name="직사각형 253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55" name="직사각형 254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56" name="직사각형 255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57" name="직사각형 256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58" name="직사각형 257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59" name="직사각형 258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60" name="직사각형 259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61" name="직사각형 260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62" name="직사각형 261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63" name="직사각형 262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64" name="직사각형 263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65" name="직사각형 264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66" name="직사각형 265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67" name="직사각형 266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68" name="직사각형 267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69" name="직사각형 268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70" name="직사각형 269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71" name="직사각형 270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72" name="직사각형 271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73" name="직사각형 272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74" name="직사각형 273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75" name="직사각형 274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76" name="직사각형 275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77" name="직사각형 276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78" name="직사각형 277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79" name="직사각형 278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80" name="직사각형 279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81" name="직사각형 280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82" name="직사각형 281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83" name="직사각형 282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84" name="직사각형 283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85" name="직사각형 284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86" name="직사각형 285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87" name="직사각형 286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88" name="직사각형 287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89" name="직사각형 288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90" name="직사각형 289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91" name="직사각형 290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92" name="직사각형 291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93" name="직사각형 292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94" name="직사각형 293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95" name="직사각형 294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96" name="직사각형 295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97" name="직사각형 296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98" name="직사각형 297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299" name="직사각형 298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00" name="직사각형 299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01" name="직사각형 300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02" name="직사각형 301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03" name="직사각형 302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04" name="직사각형 303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05" name="직사각형 304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06" name="직사각형 305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07" name="직사각형 306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08" name="직사각형 307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09" name="직사각형 308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10" name="직사각형 309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11" name="직사각형 310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12" name="직사각형 311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13" name="직사각형 312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14" name="직사각형 313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15" name="직사각형 314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16" name="직사각형 315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17" name="직사각형 316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18" name="직사각형 317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19" name="직사각형 318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20" name="직사각형 319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21" name="직사각형 320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22" name="직사각형 321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23" name="직사각형 322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24" name="직사각형 323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25" name="직사각형 324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26" name="직사각형 325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27" name="직사각형 326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28" name="직사각형 327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29" name="직사각형 328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30" name="직사각형 329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31" name="직사각형 330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32" name="직사각형 331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33" name="직사각형 332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34" name="직사각형 333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35" name="직사각형 334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36" name="직사각형 335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37" name="직사각형 336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38" name="직사각형 337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39" name="직사각형 338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40" name="직사각형 339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41" name="직사각형 340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42" name="직사각형 341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43" name="직사각형 342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44" name="직사각형 343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45" name="직사각형 344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46" name="직사각형 345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47" name="직사각형 346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48" name="직사각형 347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49" name="직사각형 348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50" name="직사각형 349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51" name="직사각형 350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52" name="직사각형 351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53" name="직사각형 352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54" name="직사각형 353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55" name="직사각형 354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56" name="직사각형 355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57" name="직사각형 356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58" name="직사각형 357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59" name="직사각형 358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60" name="직사각형 359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61" name="직사각형 360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62" name="직사각형 361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63" name="직사각형 362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64" name="직사각형 363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65" name="직사각형 364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66" name="직사각형 365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67" name="직사각형 366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68" name="직사각형 367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69" name="직사각형 368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70" name="직사각형 369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71" name="직사각형 370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72" name="직사각형 371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73" name="직사각형 372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74" name="직사각형 373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75" name="직사각형 374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76" name="직사각형 375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77" name="직사각형 376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78" name="직사각형 377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79" name="직사각형 378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80" name="직사각형 379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81" name="직사각형 380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82" name="직사각형 381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83" name="직사각형 382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84" name="직사각형 383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85" name="직사각형 384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86" name="직사각형 385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87" name="직사각형 386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88" name="직사각형 387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89" name="직사각형 388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90" name="직사각형 389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91" name="직사각형 390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92" name="직사각형 391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93" name="직사각형 392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94" name="직사각형 393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95" name="직사각형 394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96" name="직사각형 395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97" name="직사각형 396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98" name="직사각형 397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399" name="직사각형 398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00" name="직사각형 399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01" name="직사각형 400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02" name="직사각형 401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03" name="직사각형 402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04" name="직사각형 403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05" name="직사각형 404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06" name="직사각형 405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07" name="직사각형 406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08" name="직사각형 407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09" name="직사각형 408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10" name="직사각형 409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11" name="직사각형 410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12" name="직사각형 411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13" name="직사각형 412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14" name="직사각형 413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15" name="직사각형 414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16" name="직사각형 415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17" name="직사각형 416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18" name="직사각형 417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19" name="직사각형 418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20" name="직사각형 419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21" name="직사각형 420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22" name="직사각형 421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23" name="직사각형 422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24" name="직사각형 423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25" name="직사각형 424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26" name="직사각형 425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27" name="직사각형 426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28" name="직사각형 427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29" name="직사각형 428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30" name="직사각형 429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31" name="직사각형 430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32" name="직사각형 431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33" name="직사각형 432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34" name="직사각형 433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35" name="직사각형 434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36" name="직사각형 435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37" name="직사각형 436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38" name="직사각형 437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39" name="직사각형 438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40" name="직사각형 439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41" name="직사각형 440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42" name="직사각형 441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43" name="직사각형 442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44" name="직사각형 443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45" name="직사각형 444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46" name="직사각형 445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47" name="직사각형 446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48" name="직사각형 447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49" name="직사각형 448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50" name="직사각형 449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51" name="직사각형 450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52" name="직사각형 451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53" name="직사각형 452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54" name="직사각형 453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55" name="직사각형 454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56" name="직사각형 455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457" name="직사각형 456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58" name="직사각형 45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59" name="직사각형 45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60" name="직사각형 45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61" name="직사각형 46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62" name="직사각형 46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63" name="직사각형 46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64" name="직사각형 46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65" name="직사각형 46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66" name="직사각형 46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67" name="직사각형 46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68" name="직사각형 46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69" name="직사각형 46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70" name="직사각형 46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71" name="직사각형 47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72" name="직사각형 47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73" name="직사각형 47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74" name="직사각형 47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75" name="직사각형 47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76" name="직사각형 47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77" name="직사각형 47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78" name="직사각형 47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79" name="직사각형 47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80" name="직사각형 47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81" name="직사각형 48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82" name="직사각형 48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83" name="직사각형 48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84" name="직사각형 48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85" name="직사각형 48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86" name="직사각형 48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87" name="직사각형 48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88" name="직사각형 48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89" name="직사각형 48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90" name="직사각형 48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91" name="직사각형 49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92" name="직사각형 49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93" name="직사각형 49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94" name="직사각형 49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95" name="직사각형 49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96" name="직사각형 49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97" name="직사각형 49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98" name="직사각형 49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499" name="직사각형 49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00" name="직사각형 49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01" name="직사각형 50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02" name="직사각형 50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03" name="직사각형 50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04" name="직사각형 50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05" name="직사각형 50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06" name="직사각형 50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07" name="직사각형 50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08" name="직사각형 50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09" name="직사각형 50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10" name="직사각형 50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11" name="직사각형 51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12" name="직사각형 51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13" name="직사각형 51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14" name="직사각형 51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15" name="직사각형 51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16" name="직사각형 51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17" name="직사각형 51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18" name="직사각형 51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19" name="직사각형 51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20" name="직사각형 51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21" name="직사각형 52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22" name="직사각형 52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23" name="직사각형 52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24" name="직사각형 52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25" name="직사각형 52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26" name="직사각형 52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27" name="직사각형 52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28" name="직사각형 52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29" name="직사각형 52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30" name="직사각형 52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31" name="직사각형 53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32" name="직사각형 53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33" name="직사각형 53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34" name="직사각형 53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35" name="직사각형 53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36" name="직사각형 53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37" name="직사각형 53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38" name="직사각형 53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39" name="직사각형 53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40" name="직사각형 53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41" name="직사각형 54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42" name="직사각형 54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43" name="직사각형 54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44" name="직사각형 54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45" name="직사각형 54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46" name="직사각형 54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47" name="직사각형 54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48" name="직사각형 54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49" name="직사각형 54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0" name="직사각형 54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1" name="직사각형 55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2" name="직사각형 55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3" name="직사각형 55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4" name="직사각형 55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5" name="직사각형 55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6" name="직사각형 55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7" name="직사각형 55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8" name="직사각형 55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9" name="직사각형 55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0" name="직사각형 55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1" name="직사각형 56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2" name="직사각형 56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3" name="직사각형 56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4" name="직사각형 56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5" name="직사각형 56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6" name="직사각형 56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7" name="직사각형 56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8" name="직사각형 56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9" name="직사각형 56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0" name="직사각형 56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1" name="직사각형 57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2" name="직사각형 57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3" name="직사각형 57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4" name="직사각형 57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5" name="직사각형 57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6" name="직사각형 57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7" name="직사각형 57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8" name="직사각형 57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9" name="직사각형 57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0" name="직사각형 57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1" name="직사각형 58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2" name="직사각형 58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3" name="직사각형 58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4" name="직사각형 58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5" name="직사각형 58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6" name="직사각형 58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7" name="직사각형 58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8" name="직사각형 58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9" name="직사각형 58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0" name="직사각형 58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1" name="직사각형 59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2" name="직사각형 59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3" name="직사각형 59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4" name="직사각형 59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5" name="직사각형 59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6" name="직사각형 59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7" name="직사각형 59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8" name="직사각형 59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9" name="직사각형 59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0" name="직사각형 59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1" name="직사각형 60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2" name="직사각형 60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3" name="직사각형 60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4" name="직사각형 60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5" name="직사각형 60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6" name="직사각형 60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7" name="직사각형 60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8" name="직사각형 60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9" name="직사각형 60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10" name="직사각형 60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11" name="직사각형 61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12" name="직사각형 61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13" name="직사각형 61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14" name="직사각형 61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15" name="직사각형 61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16" name="직사각형 61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17" name="직사각형 61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18" name="직사각형 61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19" name="직사각형 61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20" name="직사각형 61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21" name="직사각형 62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22" name="직사각형 62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23" name="직사각형 62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24" name="직사각형 62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25" name="직사각형 62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26" name="직사각형 62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27" name="직사각형 62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28" name="직사각형 62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29" name="직사각형 62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30" name="직사각형 62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31" name="직사각형 63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32" name="직사각형 63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33" name="직사각형 63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34" name="직사각형 63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35" name="직사각형 63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36" name="직사각형 63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37" name="직사각형 63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38" name="직사각형 63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39" name="직사각형 63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40" name="직사각형 63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41" name="직사각형 64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42" name="직사각형 64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43" name="직사각형 64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44" name="직사각형 64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45" name="직사각형 64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46" name="직사각형 64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47" name="직사각형 64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48" name="직사각형 64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49" name="직사각형 64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50" name="직사각형 64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51" name="직사각형 65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52" name="직사각형 65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53" name="직사각형 65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54" name="직사각형 65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55" name="직사각형 65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56" name="직사각형 65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57" name="직사각형 65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58" name="직사각형 65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59" name="직사각형 65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60" name="직사각형 65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61" name="직사각형 66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62" name="직사각형 66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63" name="직사각형 66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64" name="직사각형 66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65" name="직사각형 66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66" name="직사각형 66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67" name="직사각형 66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68" name="직사각형 66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69" name="직사각형 66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70" name="직사각형 66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71" name="직사각형 67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72" name="직사각형 67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73" name="직사각형 67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74" name="직사각형 67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75" name="직사각형 67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76" name="직사각형 67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77" name="직사각형 67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78" name="직사각형 67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79" name="직사각형 67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80" name="직사각형 67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81" name="직사각형 68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82" name="직사각형 68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83" name="직사각형 68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84" name="직사각형 68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85" name="직사각형 68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86" name="직사각형 68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87" name="직사각형 68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88" name="직사각형 68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89" name="직사각형 68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90" name="직사각형 68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91" name="직사각형 69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692" name="직사각형 691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693" name="직사각형 692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694" name="직사각형 693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695" name="직사각형 694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696" name="직사각형 695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697" name="직사각형 696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98" name="직사각형 697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99" name="직사각형 698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00" name="직사각형 699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01" name="직사각형 700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702" name="직사각형 701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703" name="직사각형 702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704" name="직사각형 703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705" name="직사각형 704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706" name="직사각형 705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707" name="직사각형 706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708" name="직사각형 707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709" name="직사각형 708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710" name="직사각형 709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711" name="직사각형 710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712" name="직사각형 711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713" name="직사각형 712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14" name="직사각형 713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15" name="직사각형 714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16" name="직사각형 715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17" name="직사각형 716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18" name="직사각형 717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19" name="직사각형 718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20" name="직사각형 719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21" name="직사각형 720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722" name="직사각형 721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723" name="직사각형 722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724" name="직사각형 723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725" name="직사각형 724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726" name="직사각형 725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727" name="직사각형 726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728" name="직사각형 727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729" name="직사각형 728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30" name="직사각형 729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31" name="직사각형 730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32" name="직사각형 731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33" name="직사각형 732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34" name="직사각형 733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35" name="직사각형 734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36" name="직사각형 735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37" name="직사각형 736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38" name="직사각형 737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39" name="직사각형 738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40" name="직사각형 739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41" name="직사각형 740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42" name="직사각형 741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43" name="직사각형 742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44" name="직사각형 743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45" name="직사각형 744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46" name="직사각형 745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47" name="직사각형 746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48" name="직사각형 747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49" name="직사각형 748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50" name="직사각형 749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51" name="직사각형 750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52" name="직사각형 75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53" name="직사각형 75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54" name="직사각형 75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55" name="직사각형 75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56" name="직사각형 75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57" name="직사각형 75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58" name="직사각형 75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59" name="직사각형 75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60" name="직사각형 75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61" name="직사각형 76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62" name="직사각형 76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63" name="직사각형 76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64" name="직사각형 76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65" name="직사각형 76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66" name="직사각형 76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67" name="직사각형 76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68" name="직사각형 76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69" name="직사각형 76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70" name="직사각형 76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71" name="직사각형 77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72" name="직사각형 77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73" name="직사각형 77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74" name="직사각형 77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75" name="직사각형 77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76" name="직사각형 77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77" name="직사각형 77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78" name="직사각형 77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79" name="직사각형 77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80" name="직사각형 77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81" name="직사각형 78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82" name="직사각형 78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83" name="직사각형 78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84" name="직사각형 78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85" name="직사각형 78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86" name="직사각형 78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87" name="직사각형 78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88" name="직사각형 78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89" name="직사각형 78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90" name="직사각형 78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91" name="직사각형 79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92" name="직사각형 79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93" name="직사각형 79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94" name="직사각형 79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95" name="직사각형 79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96" name="직사각형 79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97" name="직사각형 79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98" name="직사각형 79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799" name="직사각형 79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00" name="직사각형 79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01" name="직사각형 80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02" name="직사각형 80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03" name="직사각형 80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04" name="직사각형 80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05" name="직사각형 80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06" name="직사각형 80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07" name="직사각형 80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08" name="직사각형 80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09" name="직사각형 80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10" name="직사각형 80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11" name="직사각형 81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12" name="직사각형 81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13" name="직사각형 81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14" name="직사각형 81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15" name="직사각형 81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16" name="직사각형 81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17" name="직사각형 81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18" name="직사각형 81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19" name="직사각형 81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20" name="직사각형 81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21" name="직사각형 82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22" name="직사각형 82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23" name="직사각형 82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24" name="직사각형 82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25" name="직사각형 82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26" name="직사각형 82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27" name="직사각형 82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28" name="직사각형 82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29" name="직사각형 82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30" name="직사각형 82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31" name="직사각형 83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32" name="직사각형 83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33" name="직사각형 83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34" name="직사각형 83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35" name="직사각형 83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36" name="직사각형 83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37" name="직사각형 83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38" name="직사각형 83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39" name="직사각형 83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40" name="직사각형 83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41" name="직사각형 84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42" name="직사각형 84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43" name="직사각형 84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44" name="직사각형 84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45" name="직사각형 84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46" name="직사각형 84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47" name="직사각형 84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48" name="직사각형 84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49" name="직사각형 84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50" name="직사각형 84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51" name="직사각형 85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52" name="직사각형 85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53" name="직사각형 85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54" name="직사각형 85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55" name="직사각형 85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56" name="직사각형 85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57" name="직사각형 85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58" name="직사각형 85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59" name="직사각형 85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60" name="직사각형 85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61" name="직사각형 86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62" name="직사각형 86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63" name="직사각형 86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64" name="직사각형 86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65" name="직사각형 86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66" name="직사각형 86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67" name="직사각형 86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68" name="직사각형 86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69" name="직사각형 86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70" name="직사각형 86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71" name="직사각형 87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72" name="직사각형 87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73" name="직사각형 87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74" name="직사각형 87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75" name="직사각형 87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76" name="직사각형 87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77" name="직사각형 87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78" name="직사각형 87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79" name="직사각형 87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80" name="직사각형 87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81" name="직사각형 88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82" name="직사각형 88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83" name="직사각형 88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84" name="직사각형 88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85" name="직사각형 88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86" name="직사각형 88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87" name="직사각형 88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88" name="직사각형 88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89" name="직사각형 88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90" name="직사각형 88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91" name="직사각형 89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92" name="직사각형 89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93" name="직사각형 89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94" name="직사각형 89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95" name="직사각형 89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96" name="직사각형 89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97" name="직사각형 89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98" name="직사각형 89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899" name="직사각형 89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00" name="직사각형 89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01" name="직사각형 90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02" name="직사각형 90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03" name="직사각형 90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04" name="직사각형 90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05" name="직사각형 90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06" name="직사각형 90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07" name="직사각형 90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08" name="직사각형 90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09" name="직사각형 90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10" name="직사각형 90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11" name="직사각형 91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12" name="직사각형 91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13" name="직사각형 91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14" name="직사각형 91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15" name="직사각형 91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16" name="직사각형 91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17" name="직사각형 91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18" name="직사각형 91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19" name="직사각형 91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20" name="직사각형 91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21" name="직사각형 92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22" name="직사각형 92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23" name="직사각형 92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24" name="직사각형 92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25" name="직사각형 92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26" name="직사각형 92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27" name="직사각형 92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28" name="직사각형 92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29" name="직사각형 92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30" name="직사각형 92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31" name="직사각형 93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32" name="직사각형 93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33" name="직사각형 93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34" name="직사각형 93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35" name="직사각형 93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36" name="직사각형 93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37" name="직사각형 93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38" name="직사각형 93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39" name="직사각형 93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40" name="직사각형 93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41" name="직사각형 94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42" name="직사각형 94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43" name="직사각형 94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44" name="직사각형 94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45" name="직사각형 94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46" name="직사각형 94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47" name="직사각형 94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48" name="직사각형 94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49" name="직사각형 94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50" name="직사각형 94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51" name="직사각형 95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52" name="직사각형 95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53" name="직사각형 95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54" name="직사각형 95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55" name="직사각형 95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56" name="직사각형 95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57" name="직사각형 95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58" name="직사각형 95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59" name="직사각형 95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60" name="직사각형 95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61" name="직사각형 96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62" name="직사각형 96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63" name="직사각형 96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64" name="직사각형 96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65" name="직사각형 96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66" name="직사각형 96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67" name="직사각형 96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68" name="직사각형 96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69" name="직사각형 96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70" name="직사각형 96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71" name="직사각형 97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72" name="직사각형 97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73" name="직사각형 97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74" name="직사각형 97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75" name="직사각형 97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76" name="직사각형 97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77" name="직사각형 97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78" name="직사각형 97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79" name="직사각형 97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80" name="직사각형 97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81" name="직사각형 98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82" name="직사각형 98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83" name="직사각형 98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84" name="직사각형 98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85" name="직사각형 98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86" name="직사각형 98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87" name="직사각형 98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88" name="직사각형 98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89" name="직사각형 98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90" name="직사각형 98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91" name="직사각형 99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92" name="직사각형 99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93" name="직사각형 99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94" name="직사각형 99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95" name="직사각형 99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96" name="직사각형 99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97" name="직사각형 99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98" name="직사각형 99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999" name="직사각형 99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00" name="직사각형 99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01" name="직사각형 100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02" name="직사각형 100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03" name="직사각형 100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04" name="직사각형 100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05" name="직사각형 100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06" name="직사각형 100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07" name="직사각형 100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08" name="직사각형 100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09" name="직사각형 100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10" name="직사각형 100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11" name="직사각형 101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12" name="직사각형 101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13" name="직사각형 101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14" name="직사각형 101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15" name="직사각형 101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16" name="직사각형 101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17" name="직사각형 101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18" name="직사각형 101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19" name="직사각형 101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20" name="직사각형 101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21" name="직사각형 102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22" name="직사각형 102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23" name="직사각형 102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24" name="직사각형 102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25" name="직사각형 102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26" name="직사각형 102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27" name="직사각형 102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28" name="직사각형 102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29" name="직사각형 102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30" name="직사각형 102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31" name="직사각형 103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32" name="직사각형 103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33" name="직사각형 103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34" name="직사각형 103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35" name="직사각형 103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36" name="직사각형 103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37" name="직사각형 103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38" name="직사각형 103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39" name="직사각형 103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40" name="직사각형 103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41" name="직사각형 104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42" name="직사각형 104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43" name="직사각형 104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44" name="직사각형 104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45" name="직사각형 104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46" name="직사각형 104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47" name="직사각형 104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48" name="직사각형 104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49" name="직사각형 104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50" name="직사각형 104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51" name="직사각형 105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52" name="직사각형 105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53" name="직사각형 105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54" name="직사각형 105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55" name="직사각형 105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56" name="직사각형 105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57" name="직사각형 105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58" name="직사각형 105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59" name="직사각형 105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60" name="직사각형 105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61" name="직사각형 106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62" name="직사각형 106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63" name="직사각형 106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64" name="직사각형 106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65" name="직사각형 106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66" name="직사각형 106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67" name="직사각형 106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68" name="직사각형 106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69" name="직사각형 106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70" name="직사각형 106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71" name="직사각형 107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72" name="직사각형 107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73" name="직사각형 107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74" name="직사각형 107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75" name="직사각형 107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76" name="직사각형 107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77" name="직사각형 107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78" name="직사각형 107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79" name="직사각형 107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80" name="직사각형 107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81" name="직사각형 108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82" name="직사각형 108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83" name="직사각형 108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84" name="직사각형 108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85" name="직사각형 108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86" name="직사각형 108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87" name="직사각형 108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88" name="직사각형 108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89" name="직사각형 108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90" name="직사각형 108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91" name="직사각형 109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92" name="직사각형 109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93" name="직사각형 109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94" name="직사각형 109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95" name="직사각형 109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96" name="직사각형 109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97" name="직사각형 109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98" name="직사각형 109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099" name="직사각형 109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00" name="직사각형 109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01" name="직사각형 110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02" name="직사각형 110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03" name="직사각형 110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04" name="직사각형 110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05" name="직사각형 110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06" name="직사각형 110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07" name="직사각형 110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08" name="직사각형 110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09" name="직사각형 110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10" name="직사각형 110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11" name="직사각형 111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12" name="직사각형 111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13" name="직사각형 111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14" name="직사각형 111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15" name="직사각형 111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16" name="직사각형 111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17" name="직사각형 111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18" name="직사각형 111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19" name="직사각형 111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20" name="직사각형 111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21" name="직사각형 112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22" name="직사각형 112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23" name="직사각형 112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24" name="직사각형 112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25" name="직사각형 112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26" name="직사각형 112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27" name="직사각형 112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28" name="직사각형 112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29" name="직사각형 112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30" name="직사각형 112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31" name="직사각형 113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32" name="직사각형 113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33" name="직사각형 113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34" name="직사각형 113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35" name="직사각형 113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36" name="직사각형 113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37" name="직사각형 113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38" name="직사각형 113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39" name="직사각형 113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40" name="직사각형 113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141" name="직사각형 114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1142" name="직사각형 1141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1143" name="직사각형 1142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1144" name="직사각형 1143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1145" name="직사각형 1144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1146" name="직사각형 1145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1147" name="직사각형 1146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142875</xdr:rowOff>
    </xdr:to>
    <xdr:sp macro="" textlink="">
      <xdr:nvSpPr>
        <xdr:cNvPr id="1148" name="직사각형 1147"/>
        <xdr:cNvSpPr/>
      </xdr:nvSpPr>
      <xdr:spPr>
        <a:xfrm>
          <a:off x="7151687" y="69135624"/>
          <a:ext cx="888999" cy="29368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142875</xdr:rowOff>
    </xdr:to>
    <xdr:sp macro="" textlink="">
      <xdr:nvSpPr>
        <xdr:cNvPr id="1149" name="직사각형 1148"/>
        <xdr:cNvSpPr/>
      </xdr:nvSpPr>
      <xdr:spPr>
        <a:xfrm>
          <a:off x="7151687" y="69135624"/>
          <a:ext cx="888999" cy="29368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142875</xdr:rowOff>
    </xdr:to>
    <xdr:sp macro="" textlink="">
      <xdr:nvSpPr>
        <xdr:cNvPr id="1150" name="직사각형 1149"/>
        <xdr:cNvSpPr/>
      </xdr:nvSpPr>
      <xdr:spPr>
        <a:xfrm>
          <a:off x="7151687" y="69135624"/>
          <a:ext cx="888999" cy="29368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142875</xdr:rowOff>
    </xdr:to>
    <xdr:sp macro="" textlink="">
      <xdr:nvSpPr>
        <xdr:cNvPr id="1151" name="직사각형 1150"/>
        <xdr:cNvSpPr/>
      </xdr:nvSpPr>
      <xdr:spPr>
        <a:xfrm>
          <a:off x="7151687" y="69135624"/>
          <a:ext cx="888999" cy="29368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1152" name="직사각형 1151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1153" name="직사각형 1152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1154" name="직사각형 1153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1155" name="직사각형 1154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1156" name="직사각형 1155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1157" name="직사각형 1156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1158" name="직사각형 1157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1159" name="직사각형 1158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1160" name="직사각형 1159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1161" name="직사각형 1160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1162" name="직사각형 1161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1163" name="직사각형 1162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142875</xdr:rowOff>
    </xdr:to>
    <xdr:sp macro="" textlink="">
      <xdr:nvSpPr>
        <xdr:cNvPr id="1164" name="직사각형 1163"/>
        <xdr:cNvSpPr/>
      </xdr:nvSpPr>
      <xdr:spPr>
        <a:xfrm>
          <a:off x="7151687" y="69135624"/>
          <a:ext cx="888999" cy="29368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142875</xdr:rowOff>
    </xdr:to>
    <xdr:sp macro="" textlink="">
      <xdr:nvSpPr>
        <xdr:cNvPr id="1165" name="직사각형 1164"/>
        <xdr:cNvSpPr/>
      </xdr:nvSpPr>
      <xdr:spPr>
        <a:xfrm>
          <a:off x="7151687" y="69135624"/>
          <a:ext cx="888999" cy="29368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142875</xdr:rowOff>
    </xdr:to>
    <xdr:sp macro="" textlink="">
      <xdr:nvSpPr>
        <xdr:cNvPr id="1166" name="직사각형 1165"/>
        <xdr:cNvSpPr/>
      </xdr:nvSpPr>
      <xdr:spPr>
        <a:xfrm>
          <a:off x="7151687" y="69135624"/>
          <a:ext cx="888999" cy="29368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142875</xdr:rowOff>
    </xdr:to>
    <xdr:sp macro="" textlink="">
      <xdr:nvSpPr>
        <xdr:cNvPr id="1167" name="직사각형 1166"/>
        <xdr:cNvSpPr/>
      </xdr:nvSpPr>
      <xdr:spPr>
        <a:xfrm>
          <a:off x="7151687" y="69135624"/>
          <a:ext cx="888999" cy="29368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142875</xdr:rowOff>
    </xdr:to>
    <xdr:sp macro="" textlink="">
      <xdr:nvSpPr>
        <xdr:cNvPr id="1168" name="직사각형 1167"/>
        <xdr:cNvSpPr/>
      </xdr:nvSpPr>
      <xdr:spPr>
        <a:xfrm>
          <a:off x="7151687" y="69135624"/>
          <a:ext cx="888999" cy="29368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142875</xdr:rowOff>
    </xdr:to>
    <xdr:sp macro="" textlink="">
      <xdr:nvSpPr>
        <xdr:cNvPr id="1169" name="직사각형 1168"/>
        <xdr:cNvSpPr/>
      </xdr:nvSpPr>
      <xdr:spPr>
        <a:xfrm>
          <a:off x="7151687" y="69135624"/>
          <a:ext cx="888999" cy="29368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142875</xdr:rowOff>
    </xdr:to>
    <xdr:sp macro="" textlink="">
      <xdr:nvSpPr>
        <xdr:cNvPr id="1170" name="직사각형 1169"/>
        <xdr:cNvSpPr/>
      </xdr:nvSpPr>
      <xdr:spPr>
        <a:xfrm>
          <a:off x="7151687" y="69135624"/>
          <a:ext cx="888999" cy="29368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142875</xdr:rowOff>
    </xdr:to>
    <xdr:sp macro="" textlink="">
      <xdr:nvSpPr>
        <xdr:cNvPr id="1171" name="직사각형 1170"/>
        <xdr:cNvSpPr/>
      </xdr:nvSpPr>
      <xdr:spPr>
        <a:xfrm>
          <a:off x="7151687" y="69135624"/>
          <a:ext cx="888999" cy="29368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1172" name="직사각형 1171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1173" name="직사각형 1172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1174" name="직사각형 1173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1175" name="직사각형 1174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1176" name="직사각형 1175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1177" name="직사각형 1176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1178" name="직사각형 1177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1179" name="직사각형 1178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1180" name="직사각형 1179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1181" name="직사각형 1180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1182" name="직사각형 1181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1183" name="직사각형 1182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1184" name="직사각형 1183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1185" name="직사각형 1184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1186" name="직사각형 1185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1187" name="직사각형 1186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1188" name="직사각형 1187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1189" name="직사각형 1188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1190" name="직사각형 1189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1191" name="직사각형 1190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1192" name="직사각형 1191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1193" name="직사각형 1192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1194" name="직사각형 1193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1195" name="직사각형 1194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1196" name="직사각형 1195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1197" name="직사각형 1196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1198" name="직사각형 1197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1199" name="직사각형 1198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1200" name="직사각형 1199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123824</xdr:rowOff>
    </xdr:to>
    <xdr:sp macro="" textlink="">
      <xdr:nvSpPr>
        <xdr:cNvPr id="1201" name="직사각형 1200"/>
        <xdr:cNvSpPr/>
      </xdr:nvSpPr>
      <xdr:spPr>
        <a:xfrm>
          <a:off x="7151687" y="69135624"/>
          <a:ext cx="888999" cy="277812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02" name="직사각형 120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03" name="직사각형 120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04" name="직사각형 120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05" name="직사각형 120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06" name="직사각형 120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07" name="직사각형 120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08" name="직사각형 120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09" name="직사각형 120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10" name="직사각형 120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11" name="직사각형 121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12" name="직사각형 121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13" name="직사각형 121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14" name="직사각형 121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15" name="직사각형 121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16" name="직사각형 121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17" name="직사각형 121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18" name="직사각형 121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19" name="직사각형 121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20" name="직사각형 121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21" name="직사각형 122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22" name="직사각형 122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23" name="직사각형 122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24" name="직사각형 122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25" name="직사각형 122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26" name="직사각형 122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27" name="직사각형 122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28" name="직사각형 122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29" name="직사각형 122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30" name="직사각형 122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31" name="직사각형 123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32" name="직사각형 123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33" name="직사각형 123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34" name="직사각형 123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35" name="직사각형 123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36" name="직사각형 123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37" name="직사각형 123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38" name="직사각형 123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39" name="직사각형 123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40" name="직사각형 123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41" name="직사각형 124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42" name="직사각형 124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43" name="직사각형 124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44" name="직사각형 124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45" name="직사각형 124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46" name="직사각형 124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47" name="직사각형 124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48" name="직사각형 124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49" name="직사각형 124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50" name="직사각형 124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51" name="직사각형 125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52" name="직사각형 125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53" name="직사각형 125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54" name="직사각형 125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55" name="직사각형 125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56" name="직사각형 125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57" name="직사각형 125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58" name="직사각형 125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59" name="직사각형 125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60" name="직사각형 125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61" name="직사각형 126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62" name="직사각형 126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63" name="직사각형 126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64" name="직사각형 126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65" name="직사각형 126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66" name="직사각형 126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67" name="직사각형 126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68" name="직사각형 126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69" name="직사각형 126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70" name="직사각형 126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71" name="직사각형 127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72" name="직사각형 127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73" name="직사각형 127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74" name="직사각형 127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75" name="직사각형 127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76" name="직사각형 127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77" name="직사각형 127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78" name="직사각형 127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79" name="직사각형 127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80" name="직사각형 127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81" name="직사각형 128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82" name="직사각형 128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83" name="직사각형 128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84" name="직사각형 128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85" name="직사각형 128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86" name="직사각형 128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87" name="직사각형 128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88" name="직사각형 128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89" name="직사각형 128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90" name="직사각형 128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91" name="직사각형 129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92" name="직사각형 129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93" name="직사각형 129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94" name="직사각형 129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95" name="직사각형 129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96" name="직사각형 129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97" name="직사각형 129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98" name="직사각형 129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299" name="직사각형 129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300" name="직사각형 129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301" name="직사각형 130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302" name="직사각형 130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303" name="직사각형 130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304" name="직사각형 130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305" name="직사각형 130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306" name="직사각형 130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307" name="직사각형 130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308" name="직사각형 130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309" name="직사각형 130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310" name="직사각형 130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311" name="직사각형 131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312" name="직사각형 131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313" name="직사각형 131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314" name="직사각형 131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315" name="직사각형 131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316" name="직사각형 131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317" name="직사각형 131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318" name="직사각형 131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319" name="직사각형 131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320" name="직사각형 131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321" name="직사각형 132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322" name="직사각형 132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323" name="직사각형 132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324" name="직사각형 132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325" name="직사각형 132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326" name="직사각형 132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327" name="직사각형 132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32" name="직사각형 153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33" name="직사각형 153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34" name="직사각형 153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35" name="직사각형 153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36" name="직사각형 153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37" name="직사각형 153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38" name="직사각형 153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39" name="직사각형 153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40" name="직사각형 153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41" name="직사각형 154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42" name="직사각형 154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43" name="직사각형 154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44" name="직사각형 154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45" name="직사각형 154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46" name="직사각형 154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47" name="직사각형 154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48" name="직사각형 154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49" name="직사각형 154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50" name="직사각형 154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51" name="직사각형 155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52" name="직사각형 155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53" name="직사각형 155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54" name="직사각형 155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55" name="직사각형 155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56" name="직사각형 155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57" name="직사각형 155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58" name="직사각형 155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59" name="직사각형 155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60" name="직사각형 155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61" name="직사각형 156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62" name="직사각형 156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63" name="직사각형 156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64" name="직사각형 156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65" name="직사각형 156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66" name="직사각형 156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67" name="직사각형 156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68" name="직사각형 156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69" name="직사각형 156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70" name="직사각형 156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71" name="직사각형 157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72" name="직사각형 157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73" name="직사각형 157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74" name="직사각형 157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75" name="직사각형 157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76" name="직사각형 157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77" name="직사각형 157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78" name="직사각형 157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79" name="직사각형 157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80" name="직사각형 157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81" name="직사각형 158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82" name="직사각형 158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83" name="직사각형 158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84" name="직사각형 158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85" name="직사각형 158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86" name="직사각형 158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87" name="직사각형 158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88" name="직사각형 158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89" name="직사각형 158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90" name="직사각형 158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91" name="직사각형 159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92" name="직사각형 159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93" name="직사각형 159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94" name="직사각형 159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95" name="직사각형 159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96" name="직사각형 159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97" name="직사각형 159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98" name="직사각형 159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599" name="직사각형 159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00" name="직사각형 159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01" name="직사각형 160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02" name="직사각형 160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03" name="직사각형 160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04" name="직사각형 160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05" name="직사각형 160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06" name="직사각형 160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07" name="직사각형 160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08" name="직사각형 160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09" name="직사각형 160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10" name="직사각형 160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11" name="직사각형 161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12" name="직사각형 161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13" name="직사각형 161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14" name="직사각형 161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15" name="직사각형 161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16" name="직사각형 161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17" name="직사각형 161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18" name="직사각형 161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19" name="직사각형 161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20" name="직사각형 161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21" name="직사각형 162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22" name="직사각형 162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23" name="직사각형 162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24" name="직사각형 162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25" name="직사각형 162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26" name="직사각형 162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27" name="직사각형 162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28" name="직사각형 162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29" name="직사각형 162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30" name="직사각형 162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31" name="직사각형 163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32" name="직사각형 163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33" name="직사각형 163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34" name="직사각형 163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35" name="직사각형 163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36" name="직사각형 163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37" name="직사각형 163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38" name="직사각형 163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39" name="직사각형 163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40" name="직사각형 163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41" name="직사각형 164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42" name="직사각형 164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43" name="직사각형 164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44" name="직사각형 164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45" name="직사각형 164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46" name="직사각형 164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47" name="직사각형 164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48" name="직사각형 164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49" name="직사각형 164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50" name="직사각형 164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51" name="직사각형 165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52" name="직사각형 165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53" name="직사각형 165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54" name="직사각형 165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55" name="직사각형 165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56" name="직사각형 165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57" name="직사각형 165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58" name="직사각형 165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59" name="직사각형 165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60" name="직사각형 165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61" name="직사각형 166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62" name="직사각형 166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63" name="직사각형 166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64" name="직사각형 166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65" name="직사각형 166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66" name="직사각형 166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67" name="직사각형 166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68" name="직사각형 166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69" name="직사각형 166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70" name="직사각형 166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71" name="직사각형 167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72" name="직사각형 167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73" name="직사각형 167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74" name="직사각형 167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75" name="직사각형 167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76" name="직사각형 167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77" name="직사각형 167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78" name="직사각형 167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79" name="직사각형 167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80" name="직사각형 167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81" name="직사각형 168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82" name="직사각형 168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83" name="직사각형 168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84" name="직사각형 168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85" name="직사각형 168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86" name="직사각형 168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87" name="직사각형 168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88" name="직사각형 168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89" name="직사각형 168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90" name="직사각형 168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91" name="직사각형 169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92" name="직사각형 169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93" name="직사각형 169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94" name="직사각형 169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95" name="직사각형 169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96" name="직사각형 169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97" name="직사각형 169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98" name="직사각형 169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699" name="직사각형 169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700" name="직사각형 169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701" name="직사각형 170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702" name="직사각형 170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703" name="직사각형 170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704" name="직사각형 170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705" name="직사각형 170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706" name="직사각형 170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707" name="직사각형 170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708" name="직사각형 170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709" name="직사각형 170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710" name="직사각형 170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711" name="직사각형 171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712" name="직사각형 171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713" name="직사각형 171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714" name="직사각형 171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715" name="직사각형 171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716" name="직사각형 171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717" name="직사각형 171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718" name="직사각형 171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719" name="직사각형 171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720" name="직사각형 171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721" name="직사각형 172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722" name="직사각형 172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723" name="직사각형 172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724" name="직사각형 172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725" name="직사각형 172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726" name="직사각형 172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727" name="직사각형 172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728" name="직사각형 172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729" name="직사각형 172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730" name="직사각형 172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731" name="직사각형 173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732" name="직사각형 173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733" name="직사각형 173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734" name="직사각형 173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1735" name="직사각형 173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36" name="직사각형 1735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37" name="직사각형 1736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38" name="직사각형 1737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39" name="직사각형 1738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40" name="직사각형 1739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41" name="직사각형 1740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42" name="직사각형 1741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43" name="직사각형 1742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44" name="직사각형 1743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45" name="직사각형 1744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46" name="직사각형 1745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47" name="직사각형 1746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48" name="직사각형 1747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49" name="직사각형 1748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50" name="직사각형 1749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51" name="직사각형 1750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52" name="직사각형 1751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53" name="직사각형 1752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54" name="직사각형 1753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55" name="직사각형 1754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56" name="직사각형 1755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57" name="직사각형 1756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58" name="직사각형 1757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59" name="직사각형 1758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60" name="직사각형 1759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61" name="직사각형 1760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62" name="직사각형 1761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63" name="직사각형 1762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64" name="직사각형 1763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65" name="직사각형 1764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66" name="직사각형 1765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67" name="직사각형 1766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68" name="직사각형 1767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69" name="직사각형 1768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70" name="직사각형 1769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71" name="직사각형 1770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72" name="직사각형 1771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73" name="직사각형 1772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74" name="직사각형 1773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75" name="직사각형 1774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76" name="직사각형 1775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77" name="직사각형 1776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78" name="직사각형 1777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79" name="직사각형 1778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80" name="직사각형 1779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81" name="직사각형 1780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82" name="직사각형 1781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83" name="직사각형 1782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84" name="직사각형 1783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85" name="직사각형 1784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86" name="직사각형 1785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87" name="직사각형 1786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88" name="직사각형 1787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89" name="직사각형 1788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90" name="직사각형 1789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91" name="직사각형 1790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92" name="직사각형 1791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93" name="직사각형 1792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94" name="직사각형 1793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95" name="직사각형 1794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96" name="직사각형 1795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97" name="직사각형 1796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98" name="직사각형 1797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799" name="직사각형 1798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00" name="직사각형 1799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01" name="직사각형 1800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02" name="직사각형 1801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03" name="직사각형 1802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04" name="직사각형 1803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05" name="직사각형 1804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06" name="직사각형 1805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07" name="직사각형 1806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08" name="직사각형 1807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09" name="직사각형 1808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10" name="직사각형 1809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11" name="직사각형 1810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12" name="직사각형 1811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13" name="직사각형 1812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14" name="직사각형 1813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15" name="직사각형 1814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16" name="직사각형 1815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17" name="직사각형 1816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18" name="직사각형 1817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19" name="직사각형 1818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20" name="직사각형 1819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21" name="직사각형 1820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22" name="직사각형 1821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23" name="직사각형 1822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24" name="직사각형 1823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25" name="직사각형 1824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26" name="직사각형 1825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27" name="직사각형 1826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28" name="직사각형 1827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29" name="직사각형 1828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30" name="직사각형 1829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31" name="직사각형 1830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32" name="직사각형 1831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33" name="직사각형 1832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34" name="직사각형 1833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35" name="직사각형 1834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36" name="직사각형 1835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37" name="직사각형 1836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38" name="직사각형 1837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39" name="직사각형 1838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40" name="직사각형 1839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41" name="직사각형 1840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42" name="직사각형 1841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43" name="직사각형 1842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44" name="직사각형 1843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45" name="직사각형 1844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46" name="직사각형 1845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47" name="직사각형 1846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48" name="직사각형 1847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49" name="직사각형 1848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50" name="직사각형 1849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51" name="직사각형 1850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52" name="직사각형 1851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53" name="직사각형 1852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54" name="직사각형 1853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55" name="직사각형 1854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56" name="직사각형 1855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57" name="직사각형 1856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58" name="직사각형 1857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59" name="직사각형 1858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60" name="직사각형 1859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61" name="직사각형 1860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62" name="직사각형 1861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63" name="직사각형 1862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64" name="직사각형 1863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65" name="직사각형 1864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66" name="직사각형 1865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67" name="직사각형 1866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68" name="직사각형 1867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69" name="직사각형 1868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70" name="직사각형 1869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71" name="직사각형 1870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72" name="직사각형 1871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73" name="직사각형 1872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74" name="직사각형 1873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75" name="직사각형 1874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76" name="직사각형 1875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77" name="직사각형 1876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78" name="직사각형 1877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79" name="직사각형 1878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80" name="직사각형 1879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81" name="직사각형 1880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82" name="직사각형 1881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83" name="직사각형 1882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84" name="직사각형 1883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85" name="직사각형 1884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86" name="직사각형 1885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87" name="직사각형 1886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88" name="직사각형 1887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89" name="직사각형 1888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90" name="직사각형 1889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91" name="직사각형 1890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92" name="직사각형 1891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93" name="직사각형 1892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94" name="직사각형 1893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95" name="직사각형 1894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96" name="직사각형 1895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97" name="직사각형 1896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98" name="직사각형 1897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899" name="직사각형 1898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00" name="직사각형 1899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01" name="직사각형 1900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02" name="직사각형 1901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03" name="직사각형 1902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04" name="직사각형 1903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05" name="직사각형 1904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06" name="직사각형 1905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07" name="직사각형 1906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08" name="직사각형 1907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09" name="직사각형 1908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10" name="직사각형 1909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11" name="직사각형 1910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12" name="직사각형 1911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13" name="직사각형 1912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14" name="직사각형 1913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15" name="직사각형 1914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16" name="직사각형 1915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17" name="직사각형 1916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18" name="직사각형 1917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19" name="직사각형 1918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20" name="직사각형 1919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21" name="직사각형 1920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22" name="직사각형 1921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23" name="직사각형 1922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24" name="직사각형 1923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25" name="직사각형 1924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26" name="직사각형 1925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27" name="직사각형 1926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28" name="직사각형 1927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29" name="직사각형 1928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30" name="직사각형 1929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31" name="직사각형 1930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32" name="직사각형 1931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33" name="직사각형 1932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34" name="직사각형 1933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35" name="직사각형 1934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36" name="직사각형 1935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37" name="직사각형 1936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38" name="직사각형 1937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39" name="직사각형 1938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40" name="직사각형 1939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41" name="직사각형 1940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42" name="직사각형 1941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43" name="직사각형 1942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44" name="직사각형 1943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45" name="직사각형 1944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46" name="직사각형 1945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47" name="직사각형 1946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48" name="직사각형 1947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49" name="직사각형 1948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50" name="직사각형 1949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51" name="직사각형 1950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52" name="직사각형 1951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53" name="직사각형 1952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54" name="직사각형 1953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55" name="직사각형 1954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56" name="직사각형 1955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57" name="직사각형 1956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58" name="직사각형 1957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59" name="직사각형 1958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60" name="직사각형 1959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61" name="직사각형 1960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62" name="직사각형 1961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111</xdr:row>
      <xdr:rowOff>0</xdr:rowOff>
    </xdr:from>
    <xdr:to>
      <xdr:col>14</xdr:col>
      <xdr:colOff>0</xdr:colOff>
      <xdr:row>112</xdr:row>
      <xdr:rowOff>66675</xdr:rowOff>
    </xdr:to>
    <xdr:sp macro="" textlink="">
      <xdr:nvSpPr>
        <xdr:cNvPr id="1963" name="직사각형 1962"/>
        <xdr:cNvSpPr/>
      </xdr:nvSpPr>
      <xdr:spPr>
        <a:xfrm>
          <a:off x="7127874" y="2326481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1964" name="직사각형 196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1965" name="직사각형 196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1966" name="직사각형 196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1967" name="직사각형 196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1968" name="직사각형 196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1969" name="직사각형 196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1970" name="직사각형 196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1971" name="직사각형 197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1972" name="직사각형 197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1973" name="직사각형 197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1974" name="직사각형 197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1975" name="직사각형 197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1976" name="직사각형 197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1977" name="직사각형 197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1978" name="직사각형 197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1979" name="직사각형 197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1980" name="직사각형 197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1981" name="직사각형 198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1982" name="직사각형 198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1983" name="직사각형 198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1984" name="직사각형 198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1985" name="직사각형 198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1986" name="직사각형 198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1987" name="직사각형 198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1988" name="직사각형 198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1989" name="직사각형 198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1990" name="직사각형 198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1991" name="직사각형 199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1992" name="직사각형 199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1993" name="직사각형 199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1994" name="직사각형 199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1995" name="직사각형 199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1996" name="직사각형 199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1997" name="직사각형 199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1998" name="직사각형 199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1999" name="직사각형 199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00" name="직사각형 199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01" name="직사각형 200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02" name="직사각형 200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03" name="직사각형 200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04" name="직사각형 200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05" name="직사각형 200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06" name="직사각형 200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07" name="직사각형 200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08" name="직사각형 200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09" name="직사각형 200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10" name="직사각형 200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11" name="직사각형 201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12" name="직사각형 201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13" name="직사각형 201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14" name="직사각형 201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15" name="직사각형 201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16" name="직사각형 201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17" name="직사각형 201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18" name="직사각형 201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19" name="직사각형 201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20" name="직사각형 201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21" name="직사각형 202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22" name="직사각형 202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23" name="직사각형 202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24" name="직사각형 202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25" name="직사각형 202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26" name="직사각형 202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27" name="직사각형 202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28" name="직사각형 202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29" name="직사각형 202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30" name="직사각형 202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31" name="직사각형 203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32" name="직사각형 203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33" name="직사각형 203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34" name="직사각형 203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35" name="직사각형 203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36" name="직사각형 203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37" name="직사각형 203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38" name="직사각형 203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39" name="직사각형 203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40" name="직사각형 203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41" name="직사각형 204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42" name="직사각형 204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43" name="직사각형 204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44" name="직사각형 204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45" name="직사각형 204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46" name="직사각형 204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47" name="직사각형 204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48" name="직사각형 204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49" name="직사각형 204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50" name="직사각형 204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51" name="직사각형 205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52" name="직사각형 205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53" name="직사각형 205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54" name="직사각형 205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55" name="직사각형 205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56" name="직사각형 205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57" name="직사각형 205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58" name="직사각형 205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59" name="직사각형 205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60" name="직사각형 205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61" name="직사각형 206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62" name="직사각형 206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63" name="직사각형 206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64" name="직사각형 206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65" name="직사각형 206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66" name="직사각형 206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67" name="직사각형 206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68" name="직사각형 206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69" name="직사각형 206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70" name="직사각형 206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71" name="직사각형 207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72" name="직사각형 207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73" name="직사각형 207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74" name="직사각형 207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75" name="직사각형 207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76" name="직사각형 207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77" name="직사각형 207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78" name="직사각형 207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79" name="직사각형 207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80" name="직사각형 207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81" name="직사각형 208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82" name="직사각형 208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83" name="직사각형 208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84" name="직사각형 208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85" name="직사각형 208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86" name="직사각형 208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87" name="직사각형 208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88" name="직사각형 208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89" name="직사각형 208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90" name="직사각형 208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91" name="직사각형 209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92" name="직사각형 209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93" name="직사각형 209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94" name="직사각형 209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95" name="직사각형 209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96" name="직사각형 209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97" name="직사각형 209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98" name="직사각형 209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099" name="직사각형 209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00" name="직사각형 209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01" name="직사각형 210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02" name="직사각형 210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03" name="직사각형 210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04" name="직사각형 210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05" name="직사각형 210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06" name="직사각형 210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07" name="직사각형 210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08" name="직사각형 210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09" name="직사각형 210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10" name="직사각형 210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11" name="직사각형 211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12" name="직사각형 211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13" name="직사각형 211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14" name="직사각형 211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15" name="직사각형 211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16" name="직사각형 211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17" name="직사각형 211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18" name="직사각형 211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19" name="직사각형 211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20" name="직사각형 211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21" name="직사각형 212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22" name="직사각형 212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23" name="직사각형 212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24" name="직사각형 212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25" name="직사각형 212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26" name="직사각형 212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27" name="직사각형 212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28" name="직사각형 212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29" name="직사각형 212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30" name="직사각형 212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31" name="직사각형 213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32" name="직사각형 213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33" name="직사각형 213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34" name="직사각형 213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35" name="직사각형 213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36" name="직사각형 213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37" name="직사각형 213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38" name="직사각형 213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39" name="직사각형 213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40" name="직사각형 213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41" name="직사각형 214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42" name="직사각형 214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43" name="직사각형 214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44" name="직사각형 214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45" name="직사각형 214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46" name="직사각형 214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47" name="직사각형 214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48" name="직사각형 214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49" name="직사각형 214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50" name="직사각형 214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51" name="직사각형 215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52" name="직사각형 215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53" name="직사각형 215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54" name="직사각형 215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55" name="직사각형 215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56" name="직사각형 215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57" name="직사각형 215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58" name="직사각형 215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59" name="직사각형 215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60" name="직사각형 215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61" name="직사각형 216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62" name="직사각형 216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63" name="직사각형 216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64" name="직사각형 216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65" name="직사각형 216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66" name="직사각형 216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67" name="직사각형 216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68" name="직사각형 216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69" name="직사각형 216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70" name="직사각형 216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71" name="직사각형 217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72" name="직사각형 217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73" name="직사각형 217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74" name="직사각형 217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75" name="직사각형 217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76" name="직사각형 217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77" name="직사각형 217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78" name="직사각형 217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79" name="직사각형 217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80" name="직사각형 217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81" name="직사각형 218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82" name="직사각형 218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83" name="직사각형 218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84" name="직사각형 218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85" name="직사각형 218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86" name="직사각형 218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87" name="직사각형 218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88" name="직사각형 218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89" name="직사각형 218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90" name="직사각형 218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91" name="직사각형 219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92" name="직사각형 219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93" name="직사각형 219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94" name="직사각형 219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95" name="직사각형 219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96" name="직사각형 219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97" name="직사각형 219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98" name="직사각형 219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199" name="직사각형 219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00" name="직사각형 219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01" name="직사각형 220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02" name="직사각형 220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03" name="직사각형 220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04" name="직사각형 220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05" name="직사각형 220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06" name="직사각형 220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07" name="직사각형 220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08" name="직사각형 220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09" name="직사각형 220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10" name="직사각형 220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11" name="직사각형 221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12" name="직사각형 221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13" name="직사각형 221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14" name="직사각형 221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15" name="직사각형 221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16" name="직사각형 221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17" name="직사각형 221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18" name="직사각형 221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19" name="직사각형 221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20" name="직사각형 221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21" name="직사각형 222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22" name="직사각형 222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23" name="직사각형 222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24" name="직사각형 222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25" name="직사각형 222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26" name="직사각형 222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27" name="직사각형 222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28" name="직사각형 222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29" name="직사각형 222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30" name="직사각형 222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31" name="직사각형 223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32" name="직사각형 223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33" name="직사각형 223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34" name="직사각형 223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35" name="직사각형 223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36" name="직사각형 223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37" name="직사각형 223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38" name="직사각형 223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39" name="직사각형 223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40" name="직사각형 223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41" name="직사각형 224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42" name="직사각형 224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43" name="직사각형 224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44" name="직사각형 224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45" name="직사각형 224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46" name="직사각형 224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47" name="직사각형 224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48" name="직사각형 224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49" name="직사각형 224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50" name="직사각형 224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51" name="직사각형 225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52" name="직사각형 225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53" name="직사각형 225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54" name="직사각형 225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55" name="직사각형 225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56" name="직사각형 225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57" name="직사각형 225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58" name="직사각형 225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59" name="직사각형 225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60" name="직사각형 225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61" name="직사각형 226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62" name="직사각형 226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63" name="직사각형 226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64" name="직사각형 226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65" name="직사각형 226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66" name="직사각형 226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67" name="직사각형 226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68" name="직사각형 226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69" name="직사각형 226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70" name="직사각형 226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71" name="직사각형 227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72" name="직사각형 227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73" name="직사각형 227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74" name="직사각형 227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75" name="직사각형 227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76" name="직사각형 227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77" name="직사각형 227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78" name="직사각형 227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79" name="직사각형 227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80" name="직사각형 227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81" name="직사각형 228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82" name="직사각형 228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83" name="직사각형 228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84" name="직사각형 228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85" name="직사각형 228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86" name="직사각형 228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87" name="직사각형 228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88" name="직사각형 228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89" name="직사각형 228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90" name="직사각형 228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91" name="직사각형 229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92" name="직사각형 229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93" name="직사각형 229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94" name="직사각형 229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95" name="직사각형 229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96" name="직사각형 229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97" name="직사각형 229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98" name="직사각형 229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299" name="직사각형 229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00" name="직사각형 229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01" name="직사각형 230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02" name="직사각형 230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03" name="직사각형 230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04" name="직사각형 230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05" name="직사각형 230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06" name="직사각형 230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07" name="직사각형 230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08" name="직사각형 230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09" name="직사각형 230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10" name="직사각형 230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11" name="직사각형 231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12" name="직사각형 231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13" name="직사각형 231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14" name="직사각형 231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15" name="직사각형 231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16" name="직사각형 231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17" name="직사각형 231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18" name="직사각형 231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19" name="직사각형 231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20" name="직사각형 231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21" name="직사각형 232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22" name="직사각형 232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23" name="직사각형 232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24" name="직사각형 232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25" name="직사각형 232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26" name="직사각형 232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27" name="직사각형 232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28" name="직사각형 232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29" name="직사각형 232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30" name="직사각형 232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31" name="직사각형 233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32" name="직사각형 233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33" name="직사각형 233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34" name="직사각형 233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35" name="직사각형 233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36" name="직사각형 233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37" name="직사각형 233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38" name="직사각형 233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39" name="직사각형 233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40" name="직사각형 233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41" name="직사각형 234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42" name="직사각형 234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43" name="직사각형 234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44" name="직사각형 234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45" name="직사각형 234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46" name="직사각형 234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47" name="직사각형 234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48" name="직사각형 234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49" name="직사각형 234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50" name="직사각형 234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51" name="직사각형 235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52" name="직사각형 235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53" name="직사각형 235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54" name="직사각형 235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55" name="직사각형 235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56" name="직사각형 235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57" name="직사각형 235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58" name="직사각형 235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59" name="직사각형 235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60" name="직사각형 235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61" name="직사각형 236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62" name="직사각형 236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63" name="직사각형 236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64" name="직사각형 236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65" name="직사각형 236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66" name="직사각형 236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67" name="직사각형 236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68" name="직사각형 236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69" name="직사각형 236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70" name="직사각형 236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71" name="직사각형 237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72" name="직사각형 237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73" name="직사각형 237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74" name="직사각형 237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75" name="직사각형 237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76" name="직사각형 237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77" name="직사각형 237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78" name="직사각형 237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79" name="직사각형 237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80" name="직사각형 237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81" name="직사각형 238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82" name="직사각형 238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83" name="직사각형 238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84" name="직사각형 238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85" name="직사각형 238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86" name="직사각형 238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87" name="직사각형 238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88" name="직사각형 238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89" name="직사각형 238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90" name="직사각형 238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91" name="직사각형 239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92" name="직사각형 239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93" name="직사각형 239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94" name="직사각형 239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95" name="직사각형 239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96" name="직사각형 239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97" name="직사각형 239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98" name="직사각형 239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399" name="직사각형 239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00" name="직사각형 239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01" name="직사각형 240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02" name="직사각형 240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03" name="직사각형 240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04" name="직사각형 240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05" name="직사각형 240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06" name="직사각형 240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07" name="직사각형 240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08" name="직사각형 240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09" name="직사각형 240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10" name="직사각형 240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11" name="직사각형 241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12" name="직사각형 241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13" name="직사각형 241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14" name="직사각형 241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15" name="직사각형 241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16" name="직사각형 241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17" name="직사각형 241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18" name="직사각형 241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19" name="직사각형 241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20" name="직사각형 241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21" name="직사각형 242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22" name="직사각형 242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23" name="직사각형 242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24" name="직사각형 242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25" name="직사각형 242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26" name="직사각형 242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27" name="직사각형 242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28" name="직사각형 242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29" name="직사각형 242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30" name="직사각형 242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31" name="직사각형 243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32" name="직사각형 243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33" name="직사각형 243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34" name="직사각형 243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35" name="직사각형 243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36" name="직사각형 243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37" name="직사각형 243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38" name="직사각형 243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39" name="직사각형 243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40" name="직사각형 243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41" name="직사각형 244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42" name="직사각형 244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43" name="직사각형 244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44" name="직사각형 244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45" name="직사각형 244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46" name="직사각형 244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47" name="직사각형 244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48" name="직사각형 244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49" name="직사각형 244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50" name="직사각형 244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51" name="직사각형 245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52" name="직사각형 245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53" name="직사각형 245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54" name="직사각형 245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55" name="직사각형 245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56" name="직사각형 245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57" name="직사각형 245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58" name="직사각형 245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59" name="직사각형 245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60" name="직사각형 245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61" name="직사각형 246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62" name="직사각형 246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63" name="직사각형 246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64" name="직사각형 246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65" name="직사각형 246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66" name="직사각형 246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67" name="직사각형 246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68" name="직사각형 246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69" name="직사각형 246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70" name="직사각형 246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71" name="직사각형 247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72" name="직사각형 247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73" name="직사각형 247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74" name="직사각형 247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75" name="직사각형 247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76" name="직사각형 247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77" name="직사각형 247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78" name="직사각형 247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79" name="직사각형 247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80" name="직사각형 247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81" name="직사각형 248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82" name="직사각형 248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83" name="직사각형 248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84" name="직사각형 248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85" name="직사각형 248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86" name="직사각형 248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87" name="직사각형 248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88" name="직사각형 248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89" name="직사각형 248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90" name="직사각형 248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91" name="직사각형 249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92" name="직사각형 249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93" name="직사각형 249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94" name="직사각형 249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95" name="직사각형 249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96" name="직사각형 249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97" name="직사각형 249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98" name="직사각형 249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499" name="직사각형 249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00" name="직사각형 249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01" name="직사각형 250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02" name="직사각형 250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03" name="직사각형 250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04" name="직사각형 250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05" name="직사각형 250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06" name="직사각형 250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07" name="직사각형 250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08" name="직사각형 250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09" name="직사각형 250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10" name="직사각형 250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11" name="직사각형 251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12" name="직사각형 251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13" name="직사각형 251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14" name="직사각형 251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15" name="직사각형 251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16" name="직사각형 251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17" name="직사각형 251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18" name="직사각형 251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19" name="직사각형 251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20" name="직사각형 251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21" name="직사각형 252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22" name="직사각형 252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23" name="직사각형 252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24" name="직사각형 252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25" name="직사각형 252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26" name="직사각형 252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27" name="직사각형 252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28" name="직사각형 252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29" name="직사각형 252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30" name="직사각형 252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31" name="직사각형 253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32" name="직사각형 253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33" name="직사각형 253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34" name="직사각형 253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35" name="직사각형 253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36" name="직사각형 253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37" name="직사각형 253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38" name="직사각형 253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39" name="직사각형 253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40" name="직사각형 253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41" name="직사각형 254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42" name="직사각형 254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43" name="직사각형 254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44" name="직사각형 254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45" name="직사각형 254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46" name="직사각형 254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47" name="직사각형 254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48" name="직사각형 254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49" name="직사각형 254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50" name="직사각형 254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51" name="직사각형 255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52" name="직사각형 255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53" name="직사각형 255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54" name="직사각형 255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55" name="직사각형 255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56" name="직사각형 255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57" name="직사각형 255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58" name="직사각형 255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59" name="직사각형 255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60" name="직사각형 255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61" name="직사각형 256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62" name="직사각형 256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63" name="직사각형 256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64" name="직사각형 256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65" name="직사각형 256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66" name="직사각형 256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67" name="직사각형 256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68" name="직사각형 256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69" name="직사각형 256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70" name="직사각형 256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71" name="직사각형 257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72" name="직사각형 257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73" name="직사각형 257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74" name="직사각형 257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75" name="직사각형 257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76" name="직사각형 257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77" name="직사각형 257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78" name="직사각형 257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79" name="직사각형 257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80" name="직사각형 257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81" name="직사각형 258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82" name="직사각형 258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83" name="직사각형 258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84" name="직사각형 258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85" name="직사각형 258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86" name="직사각형 258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87" name="직사각형 258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88" name="직사각형 258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89" name="직사각형 258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90" name="직사각형 258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91" name="직사각형 259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92" name="직사각형 259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93" name="직사각형 259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94" name="직사각형 259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95" name="직사각형 259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96" name="직사각형 259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97" name="직사각형 259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98" name="직사각형 259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599" name="직사각형 259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00" name="직사각형 259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01" name="직사각형 260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02" name="직사각형 260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03" name="직사각형 260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04" name="직사각형 260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05" name="직사각형 260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06" name="직사각형 260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07" name="직사각형 260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08" name="직사각형 260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09" name="직사각형 260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10" name="직사각형 260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11" name="직사각형 261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12" name="직사각형 261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13" name="직사각형 261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14" name="직사각형 261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15" name="직사각형 261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16" name="직사각형 261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17" name="직사각형 261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18" name="직사각형 261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19" name="직사각형 261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20" name="직사각형 261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21" name="직사각형 262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22" name="직사각형 262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23" name="직사각형 262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24" name="직사각형 262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25" name="직사각형 262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26" name="직사각형 262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27" name="직사각형 262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28" name="직사각형 262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29" name="직사각형 262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30" name="직사각형 262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31" name="직사각형 263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32" name="직사각형 263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33" name="직사각형 263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34" name="직사각형 263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35" name="직사각형 263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36" name="직사각형 263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37" name="직사각형 263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38" name="직사각형 263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39" name="직사각형 263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40" name="직사각형 263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41" name="직사각형 264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42" name="직사각형 264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43" name="직사각형 264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44" name="직사각형 264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45" name="직사각형 264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46" name="직사각형 264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47" name="직사각형 264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48" name="직사각형 264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49" name="직사각형 264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50" name="직사각형 264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51" name="직사각형 265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52" name="직사각형 265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53" name="직사각형 265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54" name="직사각형 265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55" name="직사각형 265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56" name="직사각형 265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57" name="직사각형 265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58" name="직사각형 265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59" name="직사각형 265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60" name="직사각형 265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61" name="직사각형 266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62" name="직사각형 266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63" name="직사각형 266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64" name="직사각형 266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65" name="직사각형 266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66" name="직사각형 266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67" name="직사각형 266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68" name="직사각형 266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69" name="직사각형 266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70" name="직사각형 266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71" name="직사각형 267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72" name="직사각형 267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73" name="직사각형 267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74" name="직사각형 267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75" name="직사각형 267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76" name="직사각형 267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77" name="직사각형 267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78" name="직사각형 267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79" name="직사각형 267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80" name="직사각형 267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81" name="직사각형 268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82" name="직사각형 268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83" name="직사각형 268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84" name="직사각형 268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85" name="직사각형 268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86" name="직사각형 268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87" name="직사각형 268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88" name="직사각형 268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89" name="직사각형 268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90" name="직사각형 268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91" name="직사각형 269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92" name="직사각형 269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93" name="직사각형 269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94" name="직사각형 269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95" name="직사각형 269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96" name="직사각형 269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97" name="직사각형 269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98" name="직사각형 269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699" name="직사각형 269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00" name="직사각형 269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01" name="직사각형 270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02" name="직사각형 270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03" name="직사각형 270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04" name="직사각형 270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05" name="직사각형 270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06" name="직사각형 270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07" name="직사각형 270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08" name="직사각형 270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09" name="직사각형 270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10" name="직사각형 270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11" name="직사각형 271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12" name="직사각형 271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13" name="직사각형 271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14" name="직사각형 271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15" name="직사각형 271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16" name="직사각형 271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17" name="직사각형 271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18" name="직사각형 271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19" name="직사각형 271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20" name="직사각형 271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21" name="직사각형 272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22" name="직사각형 272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23" name="직사각형 272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24" name="직사각형 272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25" name="직사각형 272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26" name="직사각형 272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27" name="직사각형 272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28" name="직사각형 272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29" name="직사각형 272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30" name="직사각형 272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31" name="직사각형 273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32" name="직사각형 273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33" name="직사각형 273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34" name="직사각형 273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35" name="직사각형 273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36" name="직사각형 273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37" name="직사각형 273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38" name="직사각형 273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39" name="직사각형 273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40" name="직사각형 273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41" name="직사각형 274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42" name="직사각형 274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43" name="직사각형 274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44" name="직사각형 274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45" name="직사각형 274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46" name="직사각형 274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47" name="직사각형 274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48" name="직사각형 274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49" name="직사각형 274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50" name="직사각형 274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51" name="직사각형 275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52" name="직사각형 275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53" name="직사각형 275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54" name="직사각형 275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55" name="직사각형 275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56" name="직사각형 275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57" name="직사각형 275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58" name="직사각형 275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59" name="직사각형 275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60" name="직사각형 275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61" name="직사각형 276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62" name="직사각형 276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63" name="직사각형 276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64" name="직사각형 276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65" name="직사각형 276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66" name="직사각형 276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67" name="직사각형 276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68" name="직사각형 276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69" name="직사각형 276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70" name="직사각형 276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71" name="직사각형 277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72" name="직사각형 277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73" name="직사각형 277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74" name="직사각형 277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75" name="직사각형 277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76" name="직사각형 277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77" name="직사각형 277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78" name="직사각형 277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79" name="직사각형 277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80" name="직사각형 277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81" name="직사각형 278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82" name="직사각형 278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83" name="직사각형 278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84" name="직사각형 278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85" name="직사각형 278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86" name="직사각형 278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87" name="직사각형 278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88" name="직사각형 278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89" name="직사각형 278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90" name="직사각형 278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91" name="직사각형 279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92" name="직사각형 279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93" name="직사각형 279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94" name="직사각형 279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95" name="직사각형 279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96" name="직사각형 279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97" name="직사각형 279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98" name="직사각형 279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799" name="직사각형 279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00" name="직사각형 279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01" name="직사각형 280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02" name="직사각형 280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03" name="직사각형 280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04" name="직사각형 280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05" name="직사각형 280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06" name="직사각형 280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07" name="직사각형 280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08" name="직사각형 280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09" name="직사각형 280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10" name="직사각형 280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11" name="직사각형 281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12" name="직사각형 281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13" name="직사각형 281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14" name="직사각형 281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15" name="직사각형 281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16" name="직사각형 281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17" name="직사각형 281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18" name="직사각형 281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19" name="직사각형 281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20" name="직사각형 281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21" name="직사각형 282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22" name="직사각형 282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23" name="직사각형 282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24" name="직사각형 282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25" name="직사각형 282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26" name="직사각형 282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27" name="직사각형 282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28" name="직사각형 282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29" name="직사각형 282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30" name="직사각형 282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31" name="직사각형 283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32" name="직사각형 283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33" name="직사각형 283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34" name="직사각형 283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35" name="직사각형 283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36" name="직사각형 283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37" name="직사각형 283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38" name="직사각형 283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39" name="직사각형 283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40" name="직사각형 283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41" name="직사각형 284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42" name="직사각형 284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43" name="직사각형 284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44" name="직사각형 284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45" name="직사각형 284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46" name="직사각형 284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47" name="직사각형 284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48" name="직사각형 284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49" name="직사각형 284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50" name="직사각형 284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51" name="직사각형 285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52" name="직사각형 285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53" name="직사각형 285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54" name="직사각형 285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55" name="직사각형 285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56" name="직사각형 285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57" name="직사각형 285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58" name="직사각형 285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59" name="직사각형 285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60" name="직사각형 285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61" name="직사각형 286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62" name="직사각형 286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63" name="직사각형 286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64" name="직사각형 286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65" name="직사각형 286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66" name="직사각형 2865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67" name="직사각형 2866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68" name="직사각형 2867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69" name="직사각형 2868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70" name="직사각형 2869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71" name="직사각형 2870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72" name="직사각형 2871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73" name="직사각형 2872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74" name="직사각형 2873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333</xdr:row>
      <xdr:rowOff>0</xdr:rowOff>
    </xdr:from>
    <xdr:to>
      <xdr:col>14</xdr:col>
      <xdr:colOff>0</xdr:colOff>
      <xdr:row>334</xdr:row>
      <xdr:rowOff>57150</xdr:rowOff>
    </xdr:to>
    <xdr:sp macro="" textlink="">
      <xdr:nvSpPr>
        <xdr:cNvPr id="2875" name="직사각형 2874"/>
        <xdr:cNvSpPr/>
      </xdr:nvSpPr>
      <xdr:spPr>
        <a:xfrm>
          <a:off x="7127874" y="6769100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178</xdr:row>
      <xdr:rowOff>0</xdr:rowOff>
    </xdr:from>
    <xdr:to>
      <xdr:col>14</xdr:col>
      <xdr:colOff>0</xdr:colOff>
      <xdr:row>179</xdr:row>
      <xdr:rowOff>76200</xdr:rowOff>
    </xdr:to>
    <xdr:sp macro="" textlink="">
      <xdr:nvSpPr>
        <xdr:cNvPr id="2876" name="직사각형 2875"/>
        <xdr:cNvSpPr/>
      </xdr:nvSpPr>
      <xdr:spPr>
        <a:xfrm>
          <a:off x="7127874" y="36591876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178</xdr:row>
      <xdr:rowOff>0</xdr:rowOff>
    </xdr:from>
    <xdr:to>
      <xdr:col>14</xdr:col>
      <xdr:colOff>0</xdr:colOff>
      <xdr:row>179</xdr:row>
      <xdr:rowOff>76200</xdr:rowOff>
    </xdr:to>
    <xdr:sp macro="" textlink="">
      <xdr:nvSpPr>
        <xdr:cNvPr id="2877" name="직사각형 2876"/>
        <xdr:cNvSpPr/>
      </xdr:nvSpPr>
      <xdr:spPr>
        <a:xfrm>
          <a:off x="7127874" y="36591876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178</xdr:row>
      <xdr:rowOff>0</xdr:rowOff>
    </xdr:from>
    <xdr:to>
      <xdr:col>14</xdr:col>
      <xdr:colOff>0</xdr:colOff>
      <xdr:row>179</xdr:row>
      <xdr:rowOff>76200</xdr:rowOff>
    </xdr:to>
    <xdr:sp macro="" textlink="">
      <xdr:nvSpPr>
        <xdr:cNvPr id="2878" name="직사각형 2877"/>
        <xdr:cNvSpPr/>
      </xdr:nvSpPr>
      <xdr:spPr>
        <a:xfrm>
          <a:off x="7127874" y="36591876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178</xdr:row>
      <xdr:rowOff>0</xdr:rowOff>
    </xdr:from>
    <xdr:to>
      <xdr:col>14</xdr:col>
      <xdr:colOff>0</xdr:colOff>
      <xdr:row>179</xdr:row>
      <xdr:rowOff>76200</xdr:rowOff>
    </xdr:to>
    <xdr:sp macro="" textlink="">
      <xdr:nvSpPr>
        <xdr:cNvPr id="2879" name="직사각형 2878"/>
        <xdr:cNvSpPr/>
      </xdr:nvSpPr>
      <xdr:spPr>
        <a:xfrm>
          <a:off x="7127874" y="36591876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178</xdr:row>
      <xdr:rowOff>0</xdr:rowOff>
    </xdr:from>
    <xdr:to>
      <xdr:col>14</xdr:col>
      <xdr:colOff>0</xdr:colOff>
      <xdr:row>179</xdr:row>
      <xdr:rowOff>76200</xdr:rowOff>
    </xdr:to>
    <xdr:sp macro="" textlink="">
      <xdr:nvSpPr>
        <xdr:cNvPr id="1328" name="직사각형 1327"/>
        <xdr:cNvSpPr/>
      </xdr:nvSpPr>
      <xdr:spPr>
        <a:xfrm>
          <a:off x="7127874" y="36591876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178</xdr:row>
      <xdr:rowOff>0</xdr:rowOff>
    </xdr:from>
    <xdr:to>
      <xdr:col>14</xdr:col>
      <xdr:colOff>0</xdr:colOff>
      <xdr:row>179</xdr:row>
      <xdr:rowOff>76200</xdr:rowOff>
    </xdr:to>
    <xdr:sp macro="" textlink="">
      <xdr:nvSpPr>
        <xdr:cNvPr id="1329" name="직사각형 1328"/>
        <xdr:cNvSpPr/>
      </xdr:nvSpPr>
      <xdr:spPr>
        <a:xfrm>
          <a:off x="7127874" y="36591876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178</xdr:row>
      <xdr:rowOff>0</xdr:rowOff>
    </xdr:from>
    <xdr:to>
      <xdr:col>14</xdr:col>
      <xdr:colOff>0</xdr:colOff>
      <xdr:row>179</xdr:row>
      <xdr:rowOff>76200</xdr:rowOff>
    </xdr:to>
    <xdr:sp macro="" textlink="">
      <xdr:nvSpPr>
        <xdr:cNvPr id="1330" name="직사각형 1329"/>
        <xdr:cNvSpPr/>
      </xdr:nvSpPr>
      <xdr:spPr>
        <a:xfrm>
          <a:off x="7127874" y="36591876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178</xdr:row>
      <xdr:rowOff>0</xdr:rowOff>
    </xdr:from>
    <xdr:to>
      <xdr:col>14</xdr:col>
      <xdr:colOff>0</xdr:colOff>
      <xdr:row>179</xdr:row>
      <xdr:rowOff>76200</xdr:rowOff>
    </xdr:to>
    <xdr:sp macro="" textlink="">
      <xdr:nvSpPr>
        <xdr:cNvPr id="1331" name="직사각형 1330"/>
        <xdr:cNvSpPr/>
      </xdr:nvSpPr>
      <xdr:spPr>
        <a:xfrm>
          <a:off x="7127874" y="36591876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178</xdr:row>
      <xdr:rowOff>0</xdr:rowOff>
    </xdr:from>
    <xdr:to>
      <xdr:col>14</xdr:col>
      <xdr:colOff>0</xdr:colOff>
      <xdr:row>179</xdr:row>
      <xdr:rowOff>76200</xdr:rowOff>
    </xdr:to>
    <xdr:sp macro="" textlink="">
      <xdr:nvSpPr>
        <xdr:cNvPr id="1332" name="직사각형 1331"/>
        <xdr:cNvSpPr/>
      </xdr:nvSpPr>
      <xdr:spPr>
        <a:xfrm>
          <a:off x="7127874" y="36591876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178</xdr:row>
      <xdr:rowOff>0</xdr:rowOff>
    </xdr:from>
    <xdr:to>
      <xdr:col>14</xdr:col>
      <xdr:colOff>0</xdr:colOff>
      <xdr:row>179</xdr:row>
      <xdr:rowOff>76200</xdr:rowOff>
    </xdr:to>
    <xdr:sp macro="" textlink="">
      <xdr:nvSpPr>
        <xdr:cNvPr id="1333" name="직사각형 1332"/>
        <xdr:cNvSpPr/>
      </xdr:nvSpPr>
      <xdr:spPr>
        <a:xfrm>
          <a:off x="7127874" y="36591876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178</xdr:row>
      <xdr:rowOff>0</xdr:rowOff>
    </xdr:from>
    <xdr:to>
      <xdr:col>14</xdr:col>
      <xdr:colOff>0</xdr:colOff>
      <xdr:row>179</xdr:row>
      <xdr:rowOff>76200</xdr:rowOff>
    </xdr:to>
    <xdr:sp macro="" textlink="">
      <xdr:nvSpPr>
        <xdr:cNvPr id="1334" name="직사각형 1333"/>
        <xdr:cNvSpPr/>
      </xdr:nvSpPr>
      <xdr:spPr>
        <a:xfrm>
          <a:off x="7127874" y="36591876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178</xdr:row>
      <xdr:rowOff>0</xdr:rowOff>
    </xdr:from>
    <xdr:to>
      <xdr:col>14</xdr:col>
      <xdr:colOff>0</xdr:colOff>
      <xdr:row>179</xdr:row>
      <xdr:rowOff>76200</xdr:rowOff>
    </xdr:to>
    <xdr:sp macro="" textlink="">
      <xdr:nvSpPr>
        <xdr:cNvPr id="1335" name="직사각형 1334"/>
        <xdr:cNvSpPr/>
      </xdr:nvSpPr>
      <xdr:spPr>
        <a:xfrm>
          <a:off x="7127874" y="36591876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178</xdr:row>
      <xdr:rowOff>0</xdr:rowOff>
    </xdr:from>
    <xdr:to>
      <xdr:col>14</xdr:col>
      <xdr:colOff>0</xdr:colOff>
      <xdr:row>179</xdr:row>
      <xdr:rowOff>76200</xdr:rowOff>
    </xdr:to>
    <xdr:sp macro="" textlink="">
      <xdr:nvSpPr>
        <xdr:cNvPr id="1336" name="직사각형 1335"/>
        <xdr:cNvSpPr/>
      </xdr:nvSpPr>
      <xdr:spPr>
        <a:xfrm>
          <a:off x="7127874" y="36591876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178</xdr:row>
      <xdr:rowOff>0</xdr:rowOff>
    </xdr:from>
    <xdr:to>
      <xdr:col>14</xdr:col>
      <xdr:colOff>0</xdr:colOff>
      <xdr:row>179</xdr:row>
      <xdr:rowOff>76200</xdr:rowOff>
    </xdr:to>
    <xdr:sp macro="" textlink="">
      <xdr:nvSpPr>
        <xdr:cNvPr id="1337" name="직사각형 1336"/>
        <xdr:cNvSpPr/>
      </xdr:nvSpPr>
      <xdr:spPr>
        <a:xfrm>
          <a:off x="7127874" y="36591876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178</xdr:row>
      <xdr:rowOff>0</xdr:rowOff>
    </xdr:from>
    <xdr:to>
      <xdr:col>14</xdr:col>
      <xdr:colOff>0</xdr:colOff>
      <xdr:row>179</xdr:row>
      <xdr:rowOff>76200</xdr:rowOff>
    </xdr:to>
    <xdr:sp macro="" textlink="">
      <xdr:nvSpPr>
        <xdr:cNvPr id="1338" name="직사각형 1337"/>
        <xdr:cNvSpPr/>
      </xdr:nvSpPr>
      <xdr:spPr>
        <a:xfrm>
          <a:off x="7127874" y="36591876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178</xdr:row>
      <xdr:rowOff>0</xdr:rowOff>
    </xdr:from>
    <xdr:to>
      <xdr:col>14</xdr:col>
      <xdr:colOff>0</xdr:colOff>
      <xdr:row>179</xdr:row>
      <xdr:rowOff>76200</xdr:rowOff>
    </xdr:to>
    <xdr:sp macro="" textlink="">
      <xdr:nvSpPr>
        <xdr:cNvPr id="1339" name="직사각형 1338"/>
        <xdr:cNvSpPr/>
      </xdr:nvSpPr>
      <xdr:spPr>
        <a:xfrm>
          <a:off x="7127874" y="36591876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181</xdr:row>
      <xdr:rowOff>0</xdr:rowOff>
    </xdr:from>
    <xdr:to>
      <xdr:col>14</xdr:col>
      <xdr:colOff>0</xdr:colOff>
      <xdr:row>182</xdr:row>
      <xdr:rowOff>47625</xdr:rowOff>
    </xdr:to>
    <xdr:sp macro="" textlink="">
      <xdr:nvSpPr>
        <xdr:cNvPr id="1340" name="직사각형 1339"/>
        <xdr:cNvSpPr/>
      </xdr:nvSpPr>
      <xdr:spPr>
        <a:xfrm>
          <a:off x="7127874" y="37179248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181</xdr:row>
      <xdr:rowOff>0</xdr:rowOff>
    </xdr:from>
    <xdr:to>
      <xdr:col>14</xdr:col>
      <xdr:colOff>0</xdr:colOff>
      <xdr:row>182</xdr:row>
      <xdr:rowOff>47625</xdr:rowOff>
    </xdr:to>
    <xdr:sp macro="" textlink="">
      <xdr:nvSpPr>
        <xdr:cNvPr id="1341" name="직사각형 1340"/>
        <xdr:cNvSpPr/>
      </xdr:nvSpPr>
      <xdr:spPr>
        <a:xfrm>
          <a:off x="7127874" y="37179248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181</xdr:row>
      <xdr:rowOff>0</xdr:rowOff>
    </xdr:from>
    <xdr:to>
      <xdr:col>14</xdr:col>
      <xdr:colOff>0</xdr:colOff>
      <xdr:row>182</xdr:row>
      <xdr:rowOff>47625</xdr:rowOff>
    </xdr:to>
    <xdr:sp macro="" textlink="">
      <xdr:nvSpPr>
        <xdr:cNvPr id="1342" name="직사각형 1341"/>
        <xdr:cNvSpPr/>
      </xdr:nvSpPr>
      <xdr:spPr>
        <a:xfrm>
          <a:off x="7127874" y="37179248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181</xdr:row>
      <xdr:rowOff>0</xdr:rowOff>
    </xdr:from>
    <xdr:to>
      <xdr:col>14</xdr:col>
      <xdr:colOff>0</xdr:colOff>
      <xdr:row>182</xdr:row>
      <xdr:rowOff>47625</xdr:rowOff>
    </xdr:to>
    <xdr:sp macro="" textlink="">
      <xdr:nvSpPr>
        <xdr:cNvPr id="1343" name="직사각형 1342"/>
        <xdr:cNvSpPr/>
      </xdr:nvSpPr>
      <xdr:spPr>
        <a:xfrm>
          <a:off x="7127874" y="37179248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181</xdr:row>
      <xdr:rowOff>0</xdr:rowOff>
    </xdr:from>
    <xdr:to>
      <xdr:col>14</xdr:col>
      <xdr:colOff>0</xdr:colOff>
      <xdr:row>182</xdr:row>
      <xdr:rowOff>47625</xdr:rowOff>
    </xdr:to>
    <xdr:sp macro="" textlink="">
      <xdr:nvSpPr>
        <xdr:cNvPr id="1504" name="직사각형 1503"/>
        <xdr:cNvSpPr/>
      </xdr:nvSpPr>
      <xdr:spPr>
        <a:xfrm>
          <a:off x="7127874" y="37179248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181</xdr:row>
      <xdr:rowOff>0</xdr:rowOff>
    </xdr:from>
    <xdr:to>
      <xdr:col>14</xdr:col>
      <xdr:colOff>0</xdr:colOff>
      <xdr:row>182</xdr:row>
      <xdr:rowOff>47625</xdr:rowOff>
    </xdr:to>
    <xdr:sp macro="" textlink="">
      <xdr:nvSpPr>
        <xdr:cNvPr id="1505" name="직사각형 1504"/>
        <xdr:cNvSpPr/>
      </xdr:nvSpPr>
      <xdr:spPr>
        <a:xfrm>
          <a:off x="7127874" y="37179248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181</xdr:row>
      <xdr:rowOff>0</xdr:rowOff>
    </xdr:from>
    <xdr:to>
      <xdr:col>14</xdr:col>
      <xdr:colOff>0</xdr:colOff>
      <xdr:row>182</xdr:row>
      <xdr:rowOff>47625</xdr:rowOff>
    </xdr:to>
    <xdr:sp macro="" textlink="">
      <xdr:nvSpPr>
        <xdr:cNvPr id="1506" name="직사각형 1505"/>
        <xdr:cNvSpPr/>
      </xdr:nvSpPr>
      <xdr:spPr>
        <a:xfrm>
          <a:off x="7127874" y="37179248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181</xdr:row>
      <xdr:rowOff>0</xdr:rowOff>
    </xdr:from>
    <xdr:to>
      <xdr:col>14</xdr:col>
      <xdr:colOff>0</xdr:colOff>
      <xdr:row>182</xdr:row>
      <xdr:rowOff>47625</xdr:rowOff>
    </xdr:to>
    <xdr:sp macro="" textlink="">
      <xdr:nvSpPr>
        <xdr:cNvPr id="1507" name="직사각형 1506"/>
        <xdr:cNvSpPr/>
      </xdr:nvSpPr>
      <xdr:spPr>
        <a:xfrm>
          <a:off x="7127874" y="37179248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181</xdr:row>
      <xdr:rowOff>0</xdr:rowOff>
    </xdr:from>
    <xdr:to>
      <xdr:col>14</xdr:col>
      <xdr:colOff>0</xdr:colOff>
      <xdr:row>182</xdr:row>
      <xdr:rowOff>47625</xdr:rowOff>
    </xdr:to>
    <xdr:sp macro="" textlink="">
      <xdr:nvSpPr>
        <xdr:cNvPr id="1508" name="직사각형 1507"/>
        <xdr:cNvSpPr/>
      </xdr:nvSpPr>
      <xdr:spPr>
        <a:xfrm>
          <a:off x="7127874" y="37179248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181</xdr:row>
      <xdr:rowOff>0</xdr:rowOff>
    </xdr:from>
    <xdr:to>
      <xdr:col>14</xdr:col>
      <xdr:colOff>0</xdr:colOff>
      <xdr:row>182</xdr:row>
      <xdr:rowOff>47625</xdr:rowOff>
    </xdr:to>
    <xdr:sp macro="" textlink="">
      <xdr:nvSpPr>
        <xdr:cNvPr id="1509" name="직사각형 1508"/>
        <xdr:cNvSpPr/>
      </xdr:nvSpPr>
      <xdr:spPr>
        <a:xfrm>
          <a:off x="7127874" y="37179248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181</xdr:row>
      <xdr:rowOff>0</xdr:rowOff>
    </xdr:from>
    <xdr:to>
      <xdr:col>14</xdr:col>
      <xdr:colOff>0</xdr:colOff>
      <xdr:row>182</xdr:row>
      <xdr:rowOff>47625</xdr:rowOff>
    </xdr:to>
    <xdr:sp macro="" textlink="">
      <xdr:nvSpPr>
        <xdr:cNvPr id="1510" name="직사각형 1509"/>
        <xdr:cNvSpPr/>
      </xdr:nvSpPr>
      <xdr:spPr>
        <a:xfrm>
          <a:off x="7127874" y="37179248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181</xdr:row>
      <xdr:rowOff>0</xdr:rowOff>
    </xdr:from>
    <xdr:to>
      <xdr:col>14</xdr:col>
      <xdr:colOff>0</xdr:colOff>
      <xdr:row>182</xdr:row>
      <xdr:rowOff>47625</xdr:rowOff>
    </xdr:to>
    <xdr:sp macro="" textlink="">
      <xdr:nvSpPr>
        <xdr:cNvPr id="1511" name="직사각형 1510"/>
        <xdr:cNvSpPr/>
      </xdr:nvSpPr>
      <xdr:spPr>
        <a:xfrm>
          <a:off x="7127874" y="37179248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181</xdr:row>
      <xdr:rowOff>0</xdr:rowOff>
    </xdr:from>
    <xdr:to>
      <xdr:col>14</xdr:col>
      <xdr:colOff>0</xdr:colOff>
      <xdr:row>182</xdr:row>
      <xdr:rowOff>47625</xdr:rowOff>
    </xdr:to>
    <xdr:sp macro="" textlink="">
      <xdr:nvSpPr>
        <xdr:cNvPr id="1512" name="직사각형 1511"/>
        <xdr:cNvSpPr/>
      </xdr:nvSpPr>
      <xdr:spPr>
        <a:xfrm>
          <a:off x="7127874" y="37179248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181</xdr:row>
      <xdr:rowOff>0</xdr:rowOff>
    </xdr:from>
    <xdr:to>
      <xdr:col>14</xdr:col>
      <xdr:colOff>0</xdr:colOff>
      <xdr:row>182</xdr:row>
      <xdr:rowOff>47625</xdr:rowOff>
    </xdr:to>
    <xdr:sp macro="" textlink="">
      <xdr:nvSpPr>
        <xdr:cNvPr id="1513" name="직사각형 1512"/>
        <xdr:cNvSpPr/>
      </xdr:nvSpPr>
      <xdr:spPr>
        <a:xfrm>
          <a:off x="7127874" y="37179248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181</xdr:row>
      <xdr:rowOff>0</xdr:rowOff>
    </xdr:from>
    <xdr:to>
      <xdr:col>14</xdr:col>
      <xdr:colOff>0</xdr:colOff>
      <xdr:row>182</xdr:row>
      <xdr:rowOff>47625</xdr:rowOff>
    </xdr:to>
    <xdr:sp macro="" textlink="">
      <xdr:nvSpPr>
        <xdr:cNvPr id="1514" name="직사각형 1513"/>
        <xdr:cNvSpPr/>
      </xdr:nvSpPr>
      <xdr:spPr>
        <a:xfrm>
          <a:off x="7127874" y="37179248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181</xdr:row>
      <xdr:rowOff>0</xdr:rowOff>
    </xdr:from>
    <xdr:to>
      <xdr:col>14</xdr:col>
      <xdr:colOff>0</xdr:colOff>
      <xdr:row>182</xdr:row>
      <xdr:rowOff>47625</xdr:rowOff>
    </xdr:to>
    <xdr:sp macro="" textlink="">
      <xdr:nvSpPr>
        <xdr:cNvPr id="1515" name="직사각형 1514"/>
        <xdr:cNvSpPr/>
      </xdr:nvSpPr>
      <xdr:spPr>
        <a:xfrm>
          <a:off x="7127874" y="37179248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191</xdr:row>
      <xdr:rowOff>0</xdr:rowOff>
    </xdr:from>
    <xdr:to>
      <xdr:col>14</xdr:col>
      <xdr:colOff>0</xdr:colOff>
      <xdr:row>192</xdr:row>
      <xdr:rowOff>66675</xdr:rowOff>
    </xdr:to>
    <xdr:sp macro="" textlink="">
      <xdr:nvSpPr>
        <xdr:cNvPr id="1516" name="직사각형 1515"/>
        <xdr:cNvSpPr/>
      </xdr:nvSpPr>
      <xdr:spPr>
        <a:xfrm>
          <a:off x="7127874" y="39187436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191</xdr:row>
      <xdr:rowOff>0</xdr:rowOff>
    </xdr:from>
    <xdr:to>
      <xdr:col>14</xdr:col>
      <xdr:colOff>0</xdr:colOff>
      <xdr:row>192</xdr:row>
      <xdr:rowOff>66675</xdr:rowOff>
    </xdr:to>
    <xdr:sp macro="" textlink="">
      <xdr:nvSpPr>
        <xdr:cNvPr id="1517" name="직사각형 1516"/>
        <xdr:cNvSpPr/>
      </xdr:nvSpPr>
      <xdr:spPr>
        <a:xfrm>
          <a:off x="7127874" y="39187436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191</xdr:row>
      <xdr:rowOff>0</xdr:rowOff>
    </xdr:from>
    <xdr:to>
      <xdr:col>14</xdr:col>
      <xdr:colOff>0</xdr:colOff>
      <xdr:row>192</xdr:row>
      <xdr:rowOff>66675</xdr:rowOff>
    </xdr:to>
    <xdr:sp macro="" textlink="">
      <xdr:nvSpPr>
        <xdr:cNvPr id="1518" name="직사각형 1517"/>
        <xdr:cNvSpPr/>
      </xdr:nvSpPr>
      <xdr:spPr>
        <a:xfrm>
          <a:off x="7127874" y="39187436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191</xdr:row>
      <xdr:rowOff>0</xdr:rowOff>
    </xdr:from>
    <xdr:to>
      <xdr:col>14</xdr:col>
      <xdr:colOff>0</xdr:colOff>
      <xdr:row>192</xdr:row>
      <xdr:rowOff>66675</xdr:rowOff>
    </xdr:to>
    <xdr:sp macro="" textlink="">
      <xdr:nvSpPr>
        <xdr:cNvPr id="1519" name="직사각형 1518"/>
        <xdr:cNvSpPr/>
      </xdr:nvSpPr>
      <xdr:spPr>
        <a:xfrm>
          <a:off x="7127874" y="39187436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191</xdr:row>
      <xdr:rowOff>0</xdr:rowOff>
    </xdr:from>
    <xdr:to>
      <xdr:col>14</xdr:col>
      <xdr:colOff>0</xdr:colOff>
      <xdr:row>192</xdr:row>
      <xdr:rowOff>66675</xdr:rowOff>
    </xdr:to>
    <xdr:sp macro="" textlink="">
      <xdr:nvSpPr>
        <xdr:cNvPr id="1520" name="직사각형 1519"/>
        <xdr:cNvSpPr/>
      </xdr:nvSpPr>
      <xdr:spPr>
        <a:xfrm>
          <a:off x="7127874" y="39187436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191</xdr:row>
      <xdr:rowOff>0</xdr:rowOff>
    </xdr:from>
    <xdr:to>
      <xdr:col>14</xdr:col>
      <xdr:colOff>0</xdr:colOff>
      <xdr:row>192</xdr:row>
      <xdr:rowOff>66675</xdr:rowOff>
    </xdr:to>
    <xdr:sp macro="" textlink="">
      <xdr:nvSpPr>
        <xdr:cNvPr id="1521" name="직사각형 1520"/>
        <xdr:cNvSpPr/>
      </xdr:nvSpPr>
      <xdr:spPr>
        <a:xfrm>
          <a:off x="7127874" y="39187436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191</xdr:row>
      <xdr:rowOff>0</xdr:rowOff>
    </xdr:from>
    <xdr:to>
      <xdr:col>14</xdr:col>
      <xdr:colOff>0</xdr:colOff>
      <xdr:row>192</xdr:row>
      <xdr:rowOff>66675</xdr:rowOff>
    </xdr:to>
    <xdr:sp macro="" textlink="">
      <xdr:nvSpPr>
        <xdr:cNvPr id="1522" name="직사각형 1521"/>
        <xdr:cNvSpPr/>
      </xdr:nvSpPr>
      <xdr:spPr>
        <a:xfrm>
          <a:off x="7127874" y="39187436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191</xdr:row>
      <xdr:rowOff>0</xdr:rowOff>
    </xdr:from>
    <xdr:to>
      <xdr:col>14</xdr:col>
      <xdr:colOff>0</xdr:colOff>
      <xdr:row>192</xdr:row>
      <xdr:rowOff>66675</xdr:rowOff>
    </xdr:to>
    <xdr:sp macro="" textlink="">
      <xdr:nvSpPr>
        <xdr:cNvPr id="1523" name="직사각형 1522"/>
        <xdr:cNvSpPr/>
      </xdr:nvSpPr>
      <xdr:spPr>
        <a:xfrm>
          <a:off x="7127874" y="39187436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191</xdr:row>
      <xdr:rowOff>0</xdr:rowOff>
    </xdr:from>
    <xdr:to>
      <xdr:col>14</xdr:col>
      <xdr:colOff>0</xdr:colOff>
      <xdr:row>192</xdr:row>
      <xdr:rowOff>66675</xdr:rowOff>
    </xdr:to>
    <xdr:sp macro="" textlink="">
      <xdr:nvSpPr>
        <xdr:cNvPr id="1524" name="직사각형 1523"/>
        <xdr:cNvSpPr/>
      </xdr:nvSpPr>
      <xdr:spPr>
        <a:xfrm>
          <a:off x="7127874" y="39187436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191</xdr:row>
      <xdr:rowOff>0</xdr:rowOff>
    </xdr:from>
    <xdr:to>
      <xdr:col>14</xdr:col>
      <xdr:colOff>0</xdr:colOff>
      <xdr:row>192</xdr:row>
      <xdr:rowOff>66675</xdr:rowOff>
    </xdr:to>
    <xdr:sp macro="" textlink="">
      <xdr:nvSpPr>
        <xdr:cNvPr id="1525" name="직사각형 1524"/>
        <xdr:cNvSpPr/>
      </xdr:nvSpPr>
      <xdr:spPr>
        <a:xfrm>
          <a:off x="7127874" y="39187436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191</xdr:row>
      <xdr:rowOff>0</xdr:rowOff>
    </xdr:from>
    <xdr:to>
      <xdr:col>14</xdr:col>
      <xdr:colOff>0</xdr:colOff>
      <xdr:row>192</xdr:row>
      <xdr:rowOff>66675</xdr:rowOff>
    </xdr:to>
    <xdr:sp macro="" textlink="">
      <xdr:nvSpPr>
        <xdr:cNvPr id="1526" name="직사각형 1525"/>
        <xdr:cNvSpPr/>
      </xdr:nvSpPr>
      <xdr:spPr>
        <a:xfrm>
          <a:off x="7127874" y="39187436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191</xdr:row>
      <xdr:rowOff>0</xdr:rowOff>
    </xdr:from>
    <xdr:to>
      <xdr:col>14</xdr:col>
      <xdr:colOff>0</xdr:colOff>
      <xdr:row>192</xdr:row>
      <xdr:rowOff>66675</xdr:rowOff>
    </xdr:to>
    <xdr:sp macro="" textlink="">
      <xdr:nvSpPr>
        <xdr:cNvPr id="1527" name="직사각형 1526"/>
        <xdr:cNvSpPr/>
      </xdr:nvSpPr>
      <xdr:spPr>
        <a:xfrm>
          <a:off x="7127874" y="39187436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191</xdr:row>
      <xdr:rowOff>0</xdr:rowOff>
    </xdr:from>
    <xdr:to>
      <xdr:col>14</xdr:col>
      <xdr:colOff>0</xdr:colOff>
      <xdr:row>192</xdr:row>
      <xdr:rowOff>66675</xdr:rowOff>
    </xdr:to>
    <xdr:sp macro="" textlink="">
      <xdr:nvSpPr>
        <xdr:cNvPr id="1528" name="직사각형 1527"/>
        <xdr:cNvSpPr/>
      </xdr:nvSpPr>
      <xdr:spPr>
        <a:xfrm>
          <a:off x="7127874" y="39187436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191</xdr:row>
      <xdr:rowOff>0</xdr:rowOff>
    </xdr:from>
    <xdr:to>
      <xdr:col>14</xdr:col>
      <xdr:colOff>0</xdr:colOff>
      <xdr:row>192</xdr:row>
      <xdr:rowOff>66675</xdr:rowOff>
    </xdr:to>
    <xdr:sp macro="" textlink="">
      <xdr:nvSpPr>
        <xdr:cNvPr id="1529" name="직사각형 1528"/>
        <xdr:cNvSpPr/>
      </xdr:nvSpPr>
      <xdr:spPr>
        <a:xfrm>
          <a:off x="7127874" y="39187436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191</xdr:row>
      <xdr:rowOff>0</xdr:rowOff>
    </xdr:from>
    <xdr:to>
      <xdr:col>14</xdr:col>
      <xdr:colOff>0</xdr:colOff>
      <xdr:row>192</xdr:row>
      <xdr:rowOff>66675</xdr:rowOff>
    </xdr:to>
    <xdr:sp macro="" textlink="">
      <xdr:nvSpPr>
        <xdr:cNvPr id="1530" name="직사각형 1529"/>
        <xdr:cNvSpPr/>
      </xdr:nvSpPr>
      <xdr:spPr>
        <a:xfrm>
          <a:off x="7127874" y="39187436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191</xdr:row>
      <xdr:rowOff>0</xdr:rowOff>
    </xdr:from>
    <xdr:to>
      <xdr:col>14</xdr:col>
      <xdr:colOff>0</xdr:colOff>
      <xdr:row>192</xdr:row>
      <xdr:rowOff>66675</xdr:rowOff>
    </xdr:to>
    <xdr:sp macro="" textlink="">
      <xdr:nvSpPr>
        <xdr:cNvPr id="1531" name="직사각형 1530"/>
        <xdr:cNvSpPr/>
      </xdr:nvSpPr>
      <xdr:spPr>
        <a:xfrm>
          <a:off x="7127874" y="39187436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880" name="직사각형 2879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881" name="직사각형 2880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882" name="직사각형 2881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883" name="직사각형 2882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884" name="직사각형 2883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885" name="직사각형 2884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886" name="직사각형 2885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887" name="직사각형 2886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888" name="직사각형 2887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889" name="직사각형 2888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890" name="직사각형 2889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891" name="직사각형 2890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892" name="직사각형 2891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893" name="직사각형 2892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894" name="직사각형 2893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895" name="직사각형 2894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896" name="직사각형 2895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897" name="직사각형 2896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898" name="직사각형 2897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899" name="직사각형 2898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00" name="직사각형 2899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01" name="직사각형 2900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02" name="직사각형 2901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03" name="직사각형 2902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04" name="직사각형 2903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05" name="직사각형 2904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06" name="직사각형 2905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07" name="직사각형 2906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08" name="직사각형 2907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09" name="직사각형 2908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10" name="직사각형 2909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11" name="직사각형 2910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12" name="직사각형 2911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13" name="직사각형 2912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14" name="직사각형 2913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15" name="직사각형 2914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16" name="직사각형 2915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17" name="직사각형 2916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18" name="직사각형 2917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19" name="직사각형 2918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20" name="직사각형 2919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21" name="직사각형 2920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22" name="직사각형 2921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23" name="직사각형 2922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24" name="직사각형 2923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25" name="직사각형 2924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26" name="직사각형 2925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27" name="직사각형 2926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2928" name="직사각형 2927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2929" name="직사각형 2928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2930" name="직사각형 2929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2931" name="직사각형 2930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2932" name="직사각형 2931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2933" name="직사각형 2932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2934" name="직사각형 2933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2935" name="직사각형 2934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2936" name="직사각형 2935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2937" name="직사각형 2936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2938" name="직사각형 2937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2939" name="직사각형 2938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40" name="직사각형 2939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41" name="직사각형 2940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42" name="직사각형 2941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43" name="직사각형 2942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44" name="직사각형 2943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45" name="직사각형 2944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46" name="직사각형 2945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47" name="직사각형 2946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48" name="직사각형 2947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49" name="직사각형 2948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50" name="직사각형 2949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51" name="직사각형 2950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52" name="직사각형 2951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53" name="직사각형 2952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54" name="직사각형 2953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55" name="직사각형 2954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56" name="직사각형 2955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57" name="직사각형 2956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58" name="직사각형 2957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59" name="직사각형 2958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60" name="직사각형 2959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61" name="직사각형 2960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62" name="직사각형 2961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63" name="직사각형 2962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64" name="직사각형 2963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65" name="직사각형 2964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66" name="직사각형 2965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67" name="직사각형 2966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68" name="직사각형 2967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69" name="직사각형 2968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70" name="직사각형 2969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71" name="직사각형 2970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72" name="직사각형 2971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73" name="직사각형 2972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74" name="직사각형 2973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75" name="직사각형 2974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76" name="직사각형 2975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77" name="직사각형 2976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78" name="직사각형 2977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79" name="직사각형 2978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80" name="직사각형 2979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81" name="직사각형 2980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82" name="직사각형 2981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83" name="직사각형 2982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84" name="직사각형 2983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85" name="직사각형 2984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86" name="직사각형 2985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271</xdr:row>
      <xdr:rowOff>0</xdr:rowOff>
    </xdr:from>
    <xdr:to>
      <xdr:col>14</xdr:col>
      <xdr:colOff>0</xdr:colOff>
      <xdr:row>272</xdr:row>
      <xdr:rowOff>85724</xdr:rowOff>
    </xdr:to>
    <xdr:sp macro="" textlink="">
      <xdr:nvSpPr>
        <xdr:cNvPr id="2987" name="직사각형 2986"/>
        <xdr:cNvSpPr/>
      </xdr:nvSpPr>
      <xdr:spPr>
        <a:xfrm>
          <a:off x="7127874" y="55133872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47625</xdr:rowOff>
    </xdr:to>
    <xdr:sp macro="" textlink="">
      <xdr:nvSpPr>
        <xdr:cNvPr id="2988" name="직사각형 2987"/>
        <xdr:cNvSpPr/>
      </xdr:nvSpPr>
      <xdr:spPr>
        <a:xfrm>
          <a:off x="7127874" y="55911748"/>
          <a:ext cx="912812" cy="254000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47625</xdr:rowOff>
    </xdr:to>
    <xdr:sp macro="" textlink="">
      <xdr:nvSpPr>
        <xdr:cNvPr id="2989" name="직사각형 2988"/>
        <xdr:cNvSpPr/>
      </xdr:nvSpPr>
      <xdr:spPr>
        <a:xfrm>
          <a:off x="7127874" y="55911748"/>
          <a:ext cx="912812" cy="254000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47625</xdr:rowOff>
    </xdr:to>
    <xdr:sp macro="" textlink="">
      <xdr:nvSpPr>
        <xdr:cNvPr id="2990" name="직사각형 2989"/>
        <xdr:cNvSpPr/>
      </xdr:nvSpPr>
      <xdr:spPr>
        <a:xfrm>
          <a:off x="7127874" y="55911748"/>
          <a:ext cx="912812" cy="254000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47625</xdr:rowOff>
    </xdr:to>
    <xdr:sp macro="" textlink="">
      <xdr:nvSpPr>
        <xdr:cNvPr id="2991" name="직사각형 2990"/>
        <xdr:cNvSpPr/>
      </xdr:nvSpPr>
      <xdr:spPr>
        <a:xfrm>
          <a:off x="7127874" y="55911748"/>
          <a:ext cx="912812" cy="254000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47625</xdr:rowOff>
    </xdr:to>
    <xdr:sp macro="" textlink="">
      <xdr:nvSpPr>
        <xdr:cNvPr id="2992" name="직사각형 2991"/>
        <xdr:cNvSpPr/>
      </xdr:nvSpPr>
      <xdr:spPr>
        <a:xfrm>
          <a:off x="7127874" y="55911748"/>
          <a:ext cx="912812" cy="254000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47625</xdr:rowOff>
    </xdr:to>
    <xdr:sp macro="" textlink="">
      <xdr:nvSpPr>
        <xdr:cNvPr id="2993" name="직사각형 2992"/>
        <xdr:cNvSpPr/>
      </xdr:nvSpPr>
      <xdr:spPr>
        <a:xfrm>
          <a:off x="7127874" y="55911748"/>
          <a:ext cx="912812" cy="254000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47625</xdr:rowOff>
    </xdr:to>
    <xdr:sp macro="" textlink="">
      <xdr:nvSpPr>
        <xdr:cNvPr id="2994" name="직사각형 2993"/>
        <xdr:cNvSpPr/>
      </xdr:nvSpPr>
      <xdr:spPr>
        <a:xfrm>
          <a:off x="7127874" y="55911748"/>
          <a:ext cx="912812" cy="254000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47625</xdr:rowOff>
    </xdr:to>
    <xdr:sp macro="" textlink="">
      <xdr:nvSpPr>
        <xdr:cNvPr id="2995" name="직사각형 2994"/>
        <xdr:cNvSpPr/>
      </xdr:nvSpPr>
      <xdr:spPr>
        <a:xfrm>
          <a:off x="7127874" y="55911748"/>
          <a:ext cx="912812" cy="254000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2996" name="직사각형 2995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2997" name="직사각형 2996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2998" name="직사각형 2997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2999" name="직사각형 2998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00" name="직사각형 2999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01" name="직사각형 3000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02" name="직사각형 3001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03" name="직사각형 3002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04" name="직사각형 3003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05" name="직사각형 3004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06" name="직사각형 3005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07" name="직사각형 3006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08" name="직사각형 3007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09" name="직사각형 3008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10" name="직사각형 3009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11" name="직사각형 3010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12" name="직사각형 3011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13" name="직사각형 3012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14" name="직사각형 3013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15" name="직사각형 3014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16" name="직사각형 3015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17" name="직사각형 3016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18" name="직사각형 3017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19" name="직사각형 3018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20" name="직사각형 3019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21" name="직사각형 3020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22" name="직사각형 3021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23" name="직사각형 3022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24" name="직사각형 3023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25" name="직사각형 3024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26" name="직사각형 3025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27" name="직사각형 3026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28" name="직사각형 3027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29" name="직사각형 3028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30" name="직사각형 3029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31" name="직사각형 3030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32" name="직사각형 3031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33" name="직사각형 3032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34" name="직사각형 3033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35" name="직사각형 3034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36" name="직사각형 3035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37" name="직사각형 3036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38" name="직사각형 3037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39" name="직사각형 3038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40" name="직사각형 3039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41" name="직사각형 3040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42" name="직사각형 3041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43" name="직사각형 3042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44" name="직사각형 3043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45" name="직사각형 3044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46" name="직사각형 3045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47" name="직사각형 3046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48" name="직사각형 3047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49" name="직사각형 3048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50" name="직사각형 3049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51" name="직사각형 3050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52" name="직사각형 3051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53" name="직사각형 3052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54" name="직사각형 3053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55" name="직사각형 3054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56" name="직사각형 3055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57" name="직사각형 3056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58" name="직사각형 3057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59" name="직사각형 3058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60" name="직사각형 3059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61" name="직사각형 3060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62" name="직사각형 3061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63" name="직사각형 3062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64" name="직사각형 3063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65" name="직사각형 3064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66" name="직사각형 3065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67" name="직사각형 3066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68" name="직사각형 3067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69" name="직사각형 3068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70" name="직사각형 3069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71" name="직사각형 3070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72" name="직사각형 3071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73" name="직사각형 3072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74" name="직사각형 3073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75" name="직사각형 3074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76" name="직사각형 3075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77" name="직사각형 3076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78" name="직사각형 3077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79" name="직사각형 3078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80" name="직사각형 3079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81" name="직사각형 3080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82" name="직사각형 3081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83" name="직사각형 3082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84" name="직사각형 3083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85" name="직사각형 3084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86" name="직사각형 3085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87" name="직사각형 3086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88" name="직사각형 3087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89" name="직사각형 3088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90" name="직사각형 3089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91" name="직사각형 3090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92" name="직사각형 3091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93" name="직사각형 3092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94" name="직사각형 3093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95" name="직사각형 3094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96" name="직사각형 3095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97" name="직사각형 3096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98" name="직사각형 3097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299</xdr:row>
      <xdr:rowOff>0</xdr:rowOff>
    </xdr:from>
    <xdr:to>
      <xdr:col>14</xdr:col>
      <xdr:colOff>0</xdr:colOff>
      <xdr:row>300</xdr:row>
      <xdr:rowOff>57150</xdr:rowOff>
    </xdr:to>
    <xdr:sp macro="" textlink="">
      <xdr:nvSpPr>
        <xdr:cNvPr id="3099" name="직사각형 3098"/>
        <xdr:cNvSpPr/>
      </xdr:nvSpPr>
      <xdr:spPr>
        <a:xfrm>
          <a:off x="7127874" y="6067424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200</xdr:row>
      <xdr:rowOff>0</xdr:rowOff>
    </xdr:from>
    <xdr:to>
      <xdr:col>14</xdr:col>
      <xdr:colOff>0</xdr:colOff>
      <xdr:row>201</xdr:row>
      <xdr:rowOff>66675</xdr:rowOff>
    </xdr:to>
    <xdr:sp macro="" textlink="">
      <xdr:nvSpPr>
        <xdr:cNvPr id="3100" name="직사각형 3099"/>
        <xdr:cNvSpPr/>
      </xdr:nvSpPr>
      <xdr:spPr>
        <a:xfrm>
          <a:off x="7127874" y="409733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200</xdr:row>
      <xdr:rowOff>0</xdr:rowOff>
    </xdr:from>
    <xdr:to>
      <xdr:col>14</xdr:col>
      <xdr:colOff>0</xdr:colOff>
      <xdr:row>201</xdr:row>
      <xdr:rowOff>66675</xdr:rowOff>
    </xdr:to>
    <xdr:sp macro="" textlink="">
      <xdr:nvSpPr>
        <xdr:cNvPr id="3101" name="직사각형 3100"/>
        <xdr:cNvSpPr/>
      </xdr:nvSpPr>
      <xdr:spPr>
        <a:xfrm>
          <a:off x="7127874" y="409733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200</xdr:row>
      <xdr:rowOff>0</xdr:rowOff>
    </xdr:from>
    <xdr:to>
      <xdr:col>14</xdr:col>
      <xdr:colOff>0</xdr:colOff>
      <xdr:row>201</xdr:row>
      <xdr:rowOff>66675</xdr:rowOff>
    </xdr:to>
    <xdr:sp macro="" textlink="">
      <xdr:nvSpPr>
        <xdr:cNvPr id="3102" name="직사각형 3101"/>
        <xdr:cNvSpPr/>
      </xdr:nvSpPr>
      <xdr:spPr>
        <a:xfrm>
          <a:off x="7127874" y="409733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200</xdr:row>
      <xdr:rowOff>0</xdr:rowOff>
    </xdr:from>
    <xdr:to>
      <xdr:col>14</xdr:col>
      <xdr:colOff>0</xdr:colOff>
      <xdr:row>201</xdr:row>
      <xdr:rowOff>66675</xdr:rowOff>
    </xdr:to>
    <xdr:sp macro="" textlink="">
      <xdr:nvSpPr>
        <xdr:cNvPr id="3103" name="직사각형 3102"/>
        <xdr:cNvSpPr/>
      </xdr:nvSpPr>
      <xdr:spPr>
        <a:xfrm>
          <a:off x="7127874" y="409733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200</xdr:row>
      <xdr:rowOff>0</xdr:rowOff>
    </xdr:from>
    <xdr:to>
      <xdr:col>14</xdr:col>
      <xdr:colOff>0</xdr:colOff>
      <xdr:row>201</xdr:row>
      <xdr:rowOff>66675</xdr:rowOff>
    </xdr:to>
    <xdr:sp macro="" textlink="">
      <xdr:nvSpPr>
        <xdr:cNvPr id="3104" name="직사각형 3103"/>
        <xdr:cNvSpPr/>
      </xdr:nvSpPr>
      <xdr:spPr>
        <a:xfrm>
          <a:off x="7127874" y="409733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200</xdr:row>
      <xdr:rowOff>0</xdr:rowOff>
    </xdr:from>
    <xdr:to>
      <xdr:col>14</xdr:col>
      <xdr:colOff>0</xdr:colOff>
      <xdr:row>201</xdr:row>
      <xdr:rowOff>66675</xdr:rowOff>
    </xdr:to>
    <xdr:sp macro="" textlink="">
      <xdr:nvSpPr>
        <xdr:cNvPr id="3105" name="직사각형 3104"/>
        <xdr:cNvSpPr/>
      </xdr:nvSpPr>
      <xdr:spPr>
        <a:xfrm>
          <a:off x="7127874" y="409733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200</xdr:row>
      <xdr:rowOff>0</xdr:rowOff>
    </xdr:from>
    <xdr:to>
      <xdr:col>14</xdr:col>
      <xdr:colOff>0</xdr:colOff>
      <xdr:row>201</xdr:row>
      <xdr:rowOff>66675</xdr:rowOff>
    </xdr:to>
    <xdr:sp macro="" textlink="">
      <xdr:nvSpPr>
        <xdr:cNvPr id="3106" name="직사각형 3105"/>
        <xdr:cNvSpPr/>
      </xdr:nvSpPr>
      <xdr:spPr>
        <a:xfrm>
          <a:off x="7127874" y="409733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200</xdr:row>
      <xdr:rowOff>0</xdr:rowOff>
    </xdr:from>
    <xdr:to>
      <xdr:col>14</xdr:col>
      <xdr:colOff>0</xdr:colOff>
      <xdr:row>201</xdr:row>
      <xdr:rowOff>66675</xdr:rowOff>
    </xdr:to>
    <xdr:sp macro="" textlink="">
      <xdr:nvSpPr>
        <xdr:cNvPr id="3107" name="직사각형 3106"/>
        <xdr:cNvSpPr/>
      </xdr:nvSpPr>
      <xdr:spPr>
        <a:xfrm>
          <a:off x="7127874" y="409733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211</xdr:row>
      <xdr:rowOff>0</xdr:rowOff>
    </xdr:from>
    <xdr:to>
      <xdr:col>14</xdr:col>
      <xdr:colOff>0</xdr:colOff>
      <xdr:row>212</xdr:row>
      <xdr:rowOff>66675</xdr:rowOff>
    </xdr:to>
    <xdr:sp macro="" textlink="">
      <xdr:nvSpPr>
        <xdr:cNvPr id="3108" name="직사각형 3107"/>
        <xdr:cNvSpPr/>
      </xdr:nvSpPr>
      <xdr:spPr>
        <a:xfrm>
          <a:off x="7127874" y="4315618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211</xdr:row>
      <xdr:rowOff>0</xdr:rowOff>
    </xdr:from>
    <xdr:to>
      <xdr:col>14</xdr:col>
      <xdr:colOff>0</xdr:colOff>
      <xdr:row>212</xdr:row>
      <xdr:rowOff>66675</xdr:rowOff>
    </xdr:to>
    <xdr:sp macro="" textlink="">
      <xdr:nvSpPr>
        <xdr:cNvPr id="3109" name="직사각형 3108"/>
        <xdr:cNvSpPr/>
      </xdr:nvSpPr>
      <xdr:spPr>
        <a:xfrm>
          <a:off x="7127874" y="4315618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211</xdr:row>
      <xdr:rowOff>0</xdr:rowOff>
    </xdr:from>
    <xdr:to>
      <xdr:col>14</xdr:col>
      <xdr:colOff>0</xdr:colOff>
      <xdr:row>212</xdr:row>
      <xdr:rowOff>66675</xdr:rowOff>
    </xdr:to>
    <xdr:sp macro="" textlink="">
      <xdr:nvSpPr>
        <xdr:cNvPr id="3110" name="직사각형 3109"/>
        <xdr:cNvSpPr/>
      </xdr:nvSpPr>
      <xdr:spPr>
        <a:xfrm>
          <a:off x="7127874" y="4315618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211</xdr:row>
      <xdr:rowOff>0</xdr:rowOff>
    </xdr:from>
    <xdr:to>
      <xdr:col>14</xdr:col>
      <xdr:colOff>0</xdr:colOff>
      <xdr:row>212</xdr:row>
      <xdr:rowOff>66675</xdr:rowOff>
    </xdr:to>
    <xdr:sp macro="" textlink="">
      <xdr:nvSpPr>
        <xdr:cNvPr id="3111" name="직사각형 3110"/>
        <xdr:cNvSpPr/>
      </xdr:nvSpPr>
      <xdr:spPr>
        <a:xfrm>
          <a:off x="7127874" y="4315618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211</xdr:row>
      <xdr:rowOff>0</xdr:rowOff>
    </xdr:from>
    <xdr:to>
      <xdr:col>14</xdr:col>
      <xdr:colOff>0</xdr:colOff>
      <xdr:row>212</xdr:row>
      <xdr:rowOff>66675</xdr:rowOff>
    </xdr:to>
    <xdr:sp macro="" textlink="">
      <xdr:nvSpPr>
        <xdr:cNvPr id="3112" name="직사각형 3111"/>
        <xdr:cNvSpPr/>
      </xdr:nvSpPr>
      <xdr:spPr>
        <a:xfrm>
          <a:off x="7127874" y="4315618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211</xdr:row>
      <xdr:rowOff>0</xdr:rowOff>
    </xdr:from>
    <xdr:to>
      <xdr:col>14</xdr:col>
      <xdr:colOff>0</xdr:colOff>
      <xdr:row>212</xdr:row>
      <xdr:rowOff>66675</xdr:rowOff>
    </xdr:to>
    <xdr:sp macro="" textlink="">
      <xdr:nvSpPr>
        <xdr:cNvPr id="3113" name="직사각형 3112"/>
        <xdr:cNvSpPr/>
      </xdr:nvSpPr>
      <xdr:spPr>
        <a:xfrm>
          <a:off x="7127874" y="4315618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211</xdr:row>
      <xdr:rowOff>0</xdr:rowOff>
    </xdr:from>
    <xdr:to>
      <xdr:col>14</xdr:col>
      <xdr:colOff>0</xdr:colOff>
      <xdr:row>212</xdr:row>
      <xdr:rowOff>66675</xdr:rowOff>
    </xdr:to>
    <xdr:sp macro="" textlink="">
      <xdr:nvSpPr>
        <xdr:cNvPr id="3114" name="직사각형 3113"/>
        <xdr:cNvSpPr/>
      </xdr:nvSpPr>
      <xdr:spPr>
        <a:xfrm>
          <a:off x="7127874" y="4315618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211</xdr:row>
      <xdr:rowOff>0</xdr:rowOff>
    </xdr:from>
    <xdr:to>
      <xdr:col>14</xdr:col>
      <xdr:colOff>0</xdr:colOff>
      <xdr:row>212</xdr:row>
      <xdr:rowOff>66675</xdr:rowOff>
    </xdr:to>
    <xdr:sp macro="" textlink="">
      <xdr:nvSpPr>
        <xdr:cNvPr id="3115" name="직사각형 3114"/>
        <xdr:cNvSpPr/>
      </xdr:nvSpPr>
      <xdr:spPr>
        <a:xfrm>
          <a:off x="7127874" y="4315618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228</xdr:row>
      <xdr:rowOff>0</xdr:rowOff>
    </xdr:from>
    <xdr:to>
      <xdr:col>14</xdr:col>
      <xdr:colOff>0</xdr:colOff>
      <xdr:row>229</xdr:row>
      <xdr:rowOff>76200</xdr:rowOff>
    </xdr:to>
    <xdr:sp macro="" textlink="">
      <xdr:nvSpPr>
        <xdr:cNvPr id="3116" name="직사각형 3115"/>
        <xdr:cNvSpPr/>
      </xdr:nvSpPr>
      <xdr:spPr>
        <a:xfrm>
          <a:off x="7127874" y="46513748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228</xdr:row>
      <xdr:rowOff>0</xdr:rowOff>
    </xdr:from>
    <xdr:to>
      <xdr:col>14</xdr:col>
      <xdr:colOff>0</xdr:colOff>
      <xdr:row>229</xdr:row>
      <xdr:rowOff>76200</xdr:rowOff>
    </xdr:to>
    <xdr:sp macro="" textlink="">
      <xdr:nvSpPr>
        <xdr:cNvPr id="3117" name="직사각형 3116"/>
        <xdr:cNvSpPr/>
      </xdr:nvSpPr>
      <xdr:spPr>
        <a:xfrm>
          <a:off x="7127874" y="46513748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228</xdr:row>
      <xdr:rowOff>0</xdr:rowOff>
    </xdr:from>
    <xdr:to>
      <xdr:col>14</xdr:col>
      <xdr:colOff>0</xdr:colOff>
      <xdr:row>229</xdr:row>
      <xdr:rowOff>76200</xdr:rowOff>
    </xdr:to>
    <xdr:sp macro="" textlink="">
      <xdr:nvSpPr>
        <xdr:cNvPr id="3118" name="직사각형 3117"/>
        <xdr:cNvSpPr/>
      </xdr:nvSpPr>
      <xdr:spPr>
        <a:xfrm>
          <a:off x="7127874" y="46513748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228</xdr:row>
      <xdr:rowOff>0</xdr:rowOff>
    </xdr:from>
    <xdr:to>
      <xdr:col>14</xdr:col>
      <xdr:colOff>0</xdr:colOff>
      <xdr:row>229</xdr:row>
      <xdr:rowOff>76200</xdr:rowOff>
    </xdr:to>
    <xdr:sp macro="" textlink="">
      <xdr:nvSpPr>
        <xdr:cNvPr id="3119" name="직사각형 3118"/>
        <xdr:cNvSpPr/>
      </xdr:nvSpPr>
      <xdr:spPr>
        <a:xfrm>
          <a:off x="7127874" y="46513748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228</xdr:row>
      <xdr:rowOff>0</xdr:rowOff>
    </xdr:from>
    <xdr:to>
      <xdr:col>14</xdr:col>
      <xdr:colOff>0</xdr:colOff>
      <xdr:row>229</xdr:row>
      <xdr:rowOff>76200</xdr:rowOff>
    </xdr:to>
    <xdr:sp macro="" textlink="">
      <xdr:nvSpPr>
        <xdr:cNvPr id="3120" name="직사각형 3119"/>
        <xdr:cNvSpPr/>
      </xdr:nvSpPr>
      <xdr:spPr>
        <a:xfrm>
          <a:off x="7127874" y="46513748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228</xdr:row>
      <xdr:rowOff>0</xdr:rowOff>
    </xdr:from>
    <xdr:to>
      <xdr:col>14</xdr:col>
      <xdr:colOff>0</xdr:colOff>
      <xdr:row>229</xdr:row>
      <xdr:rowOff>76200</xdr:rowOff>
    </xdr:to>
    <xdr:sp macro="" textlink="">
      <xdr:nvSpPr>
        <xdr:cNvPr id="3121" name="직사각형 3120"/>
        <xdr:cNvSpPr/>
      </xdr:nvSpPr>
      <xdr:spPr>
        <a:xfrm>
          <a:off x="7127874" y="46513748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228</xdr:row>
      <xdr:rowOff>0</xdr:rowOff>
    </xdr:from>
    <xdr:to>
      <xdr:col>14</xdr:col>
      <xdr:colOff>0</xdr:colOff>
      <xdr:row>229</xdr:row>
      <xdr:rowOff>76200</xdr:rowOff>
    </xdr:to>
    <xdr:sp macro="" textlink="">
      <xdr:nvSpPr>
        <xdr:cNvPr id="3122" name="직사각형 3121"/>
        <xdr:cNvSpPr/>
      </xdr:nvSpPr>
      <xdr:spPr>
        <a:xfrm>
          <a:off x="7127874" y="46513748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228</xdr:row>
      <xdr:rowOff>0</xdr:rowOff>
    </xdr:from>
    <xdr:to>
      <xdr:col>14</xdr:col>
      <xdr:colOff>0</xdr:colOff>
      <xdr:row>229</xdr:row>
      <xdr:rowOff>76200</xdr:rowOff>
    </xdr:to>
    <xdr:sp macro="" textlink="">
      <xdr:nvSpPr>
        <xdr:cNvPr id="3123" name="직사각형 3122"/>
        <xdr:cNvSpPr/>
      </xdr:nvSpPr>
      <xdr:spPr>
        <a:xfrm>
          <a:off x="7127874" y="46513748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238</xdr:row>
      <xdr:rowOff>0</xdr:rowOff>
    </xdr:from>
    <xdr:to>
      <xdr:col>14</xdr:col>
      <xdr:colOff>0</xdr:colOff>
      <xdr:row>239</xdr:row>
      <xdr:rowOff>66675</xdr:rowOff>
    </xdr:to>
    <xdr:sp macro="" textlink="">
      <xdr:nvSpPr>
        <xdr:cNvPr id="3124" name="직사각형 3123"/>
        <xdr:cNvSpPr/>
      </xdr:nvSpPr>
      <xdr:spPr>
        <a:xfrm>
          <a:off x="7127874" y="4848225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238</xdr:row>
      <xdr:rowOff>0</xdr:rowOff>
    </xdr:from>
    <xdr:to>
      <xdr:col>14</xdr:col>
      <xdr:colOff>0</xdr:colOff>
      <xdr:row>239</xdr:row>
      <xdr:rowOff>66675</xdr:rowOff>
    </xdr:to>
    <xdr:sp macro="" textlink="">
      <xdr:nvSpPr>
        <xdr:cNvPr id="3125" name="직사각형 3124"/>
        <xdr:cNvSpPr/>
      </xdr:nvSpPr>
      <xdr:spPr>
        <a:xfrm>
          <a:off x="7127874" y="4848225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238</xdr:row>
      <xdr:rowOff>0</xdr:rowOff>
    </xdr:from>
    <xdr:to>
      <xdr:col>14</xdr:col>
      <xdr:colOff>0</xdr:colOff>
      <xdr:row>239</xdr:row>
      <xdr:rowOff>66675</xdr:rowOff>
    </xdr:to>
    <xdr:sp macro="" textlink="">
      <xdr:nvSpPr>
        <xdr:cNvPr id="3126" name="직사각형 3125"/>
        <xdr:cNvSpPr/>
      </xdr:nvSpPr>
      <xdr:spPr>
        <a:xfrm>
          <a:off x="7127874" y="4848225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238</xdr:row>
      <xdr:rowOff>0</xdr:rowOff>
    </xdr:from>
    <xdr:to>
      <xdr:col>14</xdr:col>
      <xdr:colOff>0</xdr:colOff>
      <xdr:row>239</xdr:row>
      <xdr:rowOff>66675</xdr:rowOff>
    </xdr:to>
    <xdr:sp macro="" textlink="">
      <xdr:nvSpPr>
        <xdr:cNvPr id="3127" name="직사각형 3126"/>
        <xdr:cNvSpPr/>
      </xdr:nvSpPr>
      <xdr:spPr>
        <a:xfrm>
          <a:off x="7127874" y="4848225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238</xdr:row>
      <xdr:rowOff>0</xdr:rowOff>
    </xdr:from>
    <xdr:to>
      <xdr:col>14</xdr:col>
      <xdr:colOff>0</xdr:colOff>
      <xdr:row>239</xdr:row>
      <xdr:rowOff>66675</xdr:rowOff>
    </xdr:to>
    <xdr:sp macro="" textlink="">
      <xdr:nvSpPr>
        <xdr:cNvPr id="3128" name="직사각형 3127"/>
        <xdr:cNvSpPr/>
      </xdr:nvSpPr>
      <xdr:spPr>
        <a:xfrm>
          <a:off x="7127874" y="4848225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238</xdr:row>
      <xdr:rowOff>0</xdr:rowOff>
    </xdr:from>
    <xdr:to>
      <xdr:col>14</xdr:col>
      <xdr:colOff>0</xdr:colOff>
      <xdr:row>239</xdr:row>
      <xdr:rowOff>66675</xdr:rowOff>
    </xdr:to>
    <xdr:sp macro="" textlink="">
      <xdr:nvSpPr>
        <xdr:cNvPr id="3129" name="직사각형 3128"/>
        <xdr:cNvSpPr/>
      </xdr:nvSpPr>
      <xdr:spPr>
        <a:xfrm>
          <a:off x="7127874" y="4848225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238</xdr:row>
      <xdr:rowOff>0</xdr:rowOff>
    </xdr:from>
    <xdr:to>
      <xdr:col>14</xdr:col>
      <xdr:colOff>0</xdr:colOff>
      <xdr:row>239</xdr:row>
      <xdr:rowOff>66675</xdr:rowOff>
    </xdr:to>
    <xdr:sp macro="" textlink="">
      <xdr:nvSpPr>
        <xdr:cNvPr id="3130" name="직사각형 3129"/>
        <xdr:cNvSpPr/>
      </xdr:nvSpPr>
      <xdr:spPr>
        <a:xfrm>
          <a:off x="7127874" y="4848225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238</xdr:row>
      <xdr:rowOff>0</xdr:rowOff>
    </xdr:from>
    <xdr:to>
      <xdr:col>14</xdr:col>
      <xdr:colOff>0</xdr:colOff>
      <xdr:row>239</xdr:row>
      <xdr:rowOff>66675</xdr:rowOff>
    </xdr:to>
    <xdr:sp macro="" textlink="">
      <xdr:nvSpPr>
        <xdr:cNvPr id="3131" name="직사각형 3130"/>
        <xdr:cNvSpPr/>
      </xdr:nvSpPr>
      <xdr:spPr>
        <a:xfrm>
          <a:off x="7127874" y="4848225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259</xdr:row>
      <xdr:rowOff>0</xdr:rowOff>
    </xdr:from>
    <xdr:to>
      <xdr:col>14</xdr:col>
      <xdr:colOff>0</xdr:colOff>
      <xdr:row>260</xdr:row>
      <xdr:rowOff>57150</xdr:rowOff>
    </xdr:to>
    <xdr:sp macro="" textlink="">
      <xdr:nvSpPr>
        <xdr:cNvPr id="3132" name="직사각형 3131"/>
        <xdr:cNvSpPr/>
      </xdr:nvSpPr>
      <xdr:spPr>
        <a:xfrm>
          <a:off x="7127874" y="5269706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259</xdr:row>
      <xdr:rowOff>0</xdr:rowOff>
    </xdr:from>
    <xdr:to>
      <xdr:col>14</xdr:col>
      <xdr:colOff>0</xdr:colOff>
      <xdr:row>260</xdr:row>
      <xdr:rowOff>57150</xdr:rowOff>
    </xdr:to>
    <xdr:sp macro="" textlink="">
      <xdr:nvSpPr>
        <xdr:cNvPr id="3133" name="직사각형 3132"/>
        <xdr:cNvSpPr/>
      </xdr:nvSpPr>
      <xdr:spPr>
        <a:xfrm>
          <a:off x="7127874" y="5269706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259</xdr:row>
      <xdr:rowOff>0</xdr:rowOff>
    </xdr:from>
    <xdr:to>
      <xdr:col>14</xdr:col>
      <xdr:colOff>0</xdr:colOff>
      <xdr:row>260</xdr:row>
      <xdr:rowOff>57150</xdr:rowOff>
    </xdr:to>
    <xdr:sp macro="" textlink="">
      <xdr:nvSpPr>
        <xdr:cNvPr id="3134" name="직사각형 3133"/>
        <xdr:cNvSpPr/>
      </xdr:nvSpPr>
      <xdr:spPr>
        <a:xfrm>
          <a:off x="7127874" y="5269706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259</xdr:row>
      <xdr:rowOff>0</xdr:rowOff>
    </xdr:from>
    <xdr:to>
      <xdr:col>14</xdr:col>
      <xdr:colOff>0</xdr:colOff>
      <xdr:row>260</xdr:row>
      <xdr:rowOff>57150</xdr:rowOff>
    </xdr:to>
    <xdr:sp macro="" textlink="">
      <xdr:nvSpPr>
        <xdr:cNvPr id="3135" name="직사각형 3134"/>
        <xdr:cNvSpPr/>
      </xdr:nvSpPr>
      <xdr:spPr>
        <a:xfrm>
          <a:off x="7127874" y="5269706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259</xdr:row>
      <xdr:rowOff>0</xdr:rowOff>
    </xdr:from>
    <xdr:to>
      <xdr:col>14</xdr:col>
      <xdr:colOff>0</xdr:colOff>
      <xdr:row>260</xdr:row>
      <xdr:rowOff>57150</xdr:rowOff>
    </xdr:to>
    <xdr:sp macro="" textlink="">
      <xdr:nvSpPr>
        <xdr:cNvPr id="3136" name="직사각형 3135"/>
        <xdr:cNvSpPr/>
      </xdr:nvSpPr>
      <xdr:spPr>
        <a:xfrm>
          <a:off x="7127874" y="5269706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259</xdr:row>
      <xdr:rowOff>0</xdr:rowOff>
    </xdr:from>
    <xdr:to>
      <xdr:col>14</xdr:col>
      <xdr:colOff>0</xdr:colOff>
      <xdr:row>260</xdr:row>
      <xdr:rowOff>57150</xdr:rowOff>
    </xdr:to>
    <xdr:sp macro="" textlink="">
      <xdr:nvSpPr>
        <xdr:cNvPr id="3137" name="직사각형 3136"/>
        <xdr:cNvSpPr/>
      </xdr:nvSpPr>
      <xdr:spPr>
        <a:xfrm>
          <a:off x="7127874" y="5269706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259</xdr:row>
      <xdr:rowOff>0</xdr:rowOff>
    </xdr:from>
    <xdr:to>
      <xdr:col>14</xdr:col>
      <xdr:colOff>0</xdr:colOff>
      <xdr:row>260</xdr:row>
      <xdr:rowOff>57150</xdr:rowOff>
    </xdr:to>
    <xdr:sp macro="" textlink="">
      <xdr:nvSpPr>
        <xdr:cNvPr id="3138" name="직사각형 3137"/>
        <xdr:cNvSpPr/>
      </xdr:nvSpPr>
      <xdr:spPr>
        <a:xfrm>
          <a:off x="7127874" y="5269706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259</xdr:row>
      <xdr:rowOff>0</xdr:rowOff>
    </xdr:from>
    <xdr:to>
      <xdr:col>14</xdr:col>
      <xdr:colOff>0</xdr:colOff>
      <xdr:row>260</xdr:row>
      <xdr:rowOff>57150</xdr:rowOff>
    </xdr:to>
    <xdr:sp macro="" textlink="">
      <xdr:nvSpPr>
        <xdr:cNvPr id="3139" name="직사각형 3138"/>
        <xdr:cNvSpPr/>
      </xdr:nvSpPr>
      <xdr:spPr>
        <a:xfrm>
          <a:off x="7127874" y="5269706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40" name="직사각형 3139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41" name="직사각형 3140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42" name="직사각형 3141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43" name="직사각형 3142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44" name="직사각형 3143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45" name="직사각형 3144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46" name="직사각형 3145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47" name="직사각형 3146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48" name="직사각형 3147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49" name="직사각형 3148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50" name="직사각형 3149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51" name="직사각형 3150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52" name="직사각형 3151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53" name="직사각형 3152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54" name="직사각형 3153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55" name="직사각형 3154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56" name="직사각형 3155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57" name="직사각형 3156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58" name="직사각형 3157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59" name="직사각형 3158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60" name="직사각형 3159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61" name="직사각형 3160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62" name="직사각형 3161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63" name="직사각형 3162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64" name="직사각형 3163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65" name="직사각형 3164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66" name="직사각형 3165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67" name="직사각형 3166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68" name="직사각형 3167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69" name="직사각형 3168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70" name="직사각형 3169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71" name="직사각형 3170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72" name="직사각형 3171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73" name="직사각형 3172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74" name="직사각형 3173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75" name="직사각형 3174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76" name="직사각형 3175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77" name="직사각형 3176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78" name="직사각형 3177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79" name="직사각형 3178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80" name="직사각형 3179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81" name="직사각형 3180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82" name="직사각형 3181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83" name="직사각형 3182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84" name="직사각형 3183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85" name="직사각형 3184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86" name="직사각형 3185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87" name="직사각형 3186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88" name="직사각형 3187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89" name="직사각형 3188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90" name="직사각형 3189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91" name="직사각형 3190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92" name="직사각형 3191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93" name="직사각형 3192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94" name="직사각형 3193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95" name="직사각형 3194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96" name="직사각형 3195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97" name="직사각형 3196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98" name="직사각형 3197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199" name="직사각형 3198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200" name="직사각형 3199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201" name="직사각형 3200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202" name="직사각형 3201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203" name="직사각형 3202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204" name="직사각형 3203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205" name="직사각형 3204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206" name="직사각형 3205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207" name="직사각형 3206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208" name="직사각형 3207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209" name="직사각형 3208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210" name="직사각형 3209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211" name="직사각형 3210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212" name="직사각형 3211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213" name="직사각형 3212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214" name="직사각형 3213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215" name="직사각형 3214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216" name="직사각형 3215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217" name="직사각형 3216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218" name="직사각형 3217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219" name="직사각형 3218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220" name="직사각형 3219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221" name="직사각형 3220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222" name="직사각형 3221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223" name="직사각형 3222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224" name="직사각형 3223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225" name="직사각형 3224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226" name="직사각형 3225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227" name="직사각형 3226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228" name="직사각형 3227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229" name="직사각형 3228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230" name="직사각형 3229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231" name="직사각형 3230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232" name="직사각형 3231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233" name="직사각형 3232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234" name="직사각형 3233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275</xdr:row>
      <xdr:rowOff>0</xdr:rowOff>
    </xdr:from>
    <xdr:to>
      <xdr:col>14</xdr:col>
      <xdr:colOff>0</xdr:colOff>
      <xdr:row>276</xdr:row>
      <xdr:rowOff>57150</xdr:rowOff>
    </xdr:to>
    <xdr:sp macro="" textlink="">
      <xdr:nvSpPr>
        <xdr:cNvPr id="3235" name="직사각형 3234"/>
        <xdr:cNvSpPr/>
      </xdr:nvSpPr>
      <xdr:spPr>
        <a:xfrm>
          <a:off x="7127874" y="5591174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36" name="직사각형 3235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37" name="직사각형 3236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38" name="직사각형 3237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39" name="직사각형 3238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40" name="직사각형 3239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41" name="직사각형 3240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42" name="직사각형 3241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43" name="직사각형 3242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44" name="직사각형 3243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45" name="직사각형 3244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46" name="직사각형 3245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47" name="직사각형 3246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48" name="직사각형 3247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49" name="직사각형 3248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50" name="직사각형 3249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51" name="직사각형 3250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52" name="직사각형 3251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53" name="직사각형 3252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54" name="직사각형 3253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55" name="직사각형 3254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56" name="직사각형 3255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57" name="직사각형 3256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58" name="직사각형 3257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59" name="직사각형 3258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60" name="직사각형 3259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61" name="직사각형 3260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62" name="직사각형 3261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63" name="직사각형 3262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64" name="직사각형 3263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65" name="직사각형 3264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66" name="직사각형 3265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67" name="직사각형 3266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68" name="직사각형 3267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69" name="직사각형 3268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70" name="직사각형 3269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71" name="직사각형 3270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72" name="직사각형 3271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73" name="직사각형 3272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74" name="직사각형 3273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75" name="직사각형 3274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76" name="직사각형 3275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77" name="직사각형 3276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78" name="직사각형 3277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79" name="직사각형 3278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80" name="직사각형 3279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81" name="직사각형 3280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82" name="직사각형 3281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83" name="직사각형 3282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84" name="직사각형 3283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85" name="직사각형 3284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86" name="직사각형 3285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87" name="직사각형 3286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88" name="직사각형 3287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89" name="직사각형 3288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90" name="직사각형 3289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91" name="직사각형 3290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92" name="직사각형 3291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93" name="직사각형 3292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94" name="직사각형 3293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95" name="직사각형 3294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96" name="직사각형 3295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97" name="직사각형 3296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98" name="직사각형 3297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299" name="직사각형 3298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300" name="직사각형 3299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301" name="직사각형 3300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302" name="직사각형 3301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303" name="직사각형 3302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304" name="직사각형 3303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305" name="직사각형 3304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306" name="직사각형 3305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307" name="직사각형 3306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308" name="직사각형 3307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309" name="직사각형 3308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310" name="직사각형 3309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311" name="직사각형 3310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312" name="직사각형 3311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313" name="직사각형 3312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314" name="직사각형 3313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315" name="직사각형 3314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316" name="직사각형 3315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317" name="직사각형 3316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318" name="직사각형 3317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319" name="직사각형 3318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320" name="직사각형 3319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321" name="직사각형 3320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322" name="직사각형 3321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323" name="직사각형 3322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324" name="직사각형 3323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325" name="직사각형 3324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326" name="직사각형 3325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327" name="직사각형 3326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328" name="직사각형 3327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329" name="직사각형 3328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330" name="직사각형 3329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280</xdr:row>
      <xdr:rowOff>0</xdr:rowOff>
    </xdr:from>
    <xdr:to>
      <xdr:col>14</xdr:col>
      <xdr:colOff>0</xdr:colOff>
      <xdr:row>281</xdr:row>
      <xdr:rowOff>57150</xdr:rowOff>
    </xdr:to>
    <xdr:sp macro="" textlink="">
      <xdr:nvSpPr>
        <xdr:cNvPr id="3331" name="직사각형 3330"/>
        <xdr:cNvSpPr/>
      </xdr:nvSpPr>
      <xdr:spPr>
        <a:xfrm>
          <a:off x="7127874" y="5694362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32" name="직사각형 3331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33" name="직사각형 3332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34" name="직사각형 3333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35" name="직사각형 3334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36" name="직사각형 3335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37" name="직사각형 3336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38" name="직사각형 3337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39" name="직사각형 3338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40" name="직사각형 3339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41" name="직사각형 3340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42" name="직사각형 3341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43" name="직사각형 3342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44" name="직사각형 3343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45" name="직사각형 3344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46" name="직사각형 3345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47" name="직사각형 3346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48" name="직사각형 3347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49" name="직사각형 3348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50" name="직사각형 3349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51" name="직사각형 3350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52" name="직사각형 3351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53" name="직사각형 3352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54" name="직사각형 3353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55" name="직사각형 3354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56" name="직사각형 3355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57" name="직사각형 3356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58" name="직사각형 3357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59" name="직사각형 3358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60" name="직사각형 3359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61" name="직사각형 3360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62" name="직사각형 3361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63" name="직사각형 3362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64" name="직사각형 3363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65" name="직사각형 3364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66" name="직사각형 3365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67" name="직사각형 3366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68" name="직사각형 3367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69" name="직사각형 3368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70" name="직사각형 3369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71" name="직사각형 3370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72" name="직사각형 3371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73" name="직사각형 3372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74" name="직사각형 3373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75" name="직사각형 3374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76" name="직사각형 3375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77" name="직사각형 3376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78" name="직사각형 3377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79" name="직사각형 3378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80" name="직사각형 3379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81" name="직사각형 3380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82" name="직사각형 3381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83" name="직사각형 3382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84" name="직사각형 3383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85" name="직사각형 3384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86" name="직사각형 3385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87" name="직사각형 3386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88" name="직사각형 3387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89" name="직사각형 3388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90" name="직사각형 3389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91" name="직사각형 3390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92" name="직사각형 3391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93" name="직사각형 3392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94" name="직사각형 3393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95" name="직사각형 3394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96" name="직사각형 3395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97" name="직사각형 3396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98" name="직사각형 3397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399" name="직사각형 3398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400" name="직사각형 3399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401" name="직사각형 3400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402" name="직사각형 3401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403" name="직사각형 3402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404" name="직사각형 3403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405" name="직사각형 3404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406" name="직사각형 3405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407" name="직사각형 3406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408" name="직사각형 3407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409" name="직사각형 3408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410" name="직사각형 3409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411" name="직사각형 3410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412" name="직사각형 3411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413" name="직사각형 3412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414" name="직사각형 3413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415" name="직사각형 3414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416" name="직사각형 3415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417" name="직사각형 3416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418" name="직사각형 3417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419" name="직사각형 3418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420" name="직사각형 3419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421" name="직사각형 3420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422" name="직사각형 3421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423" name="직사각형 3422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424" name="직사각형 3423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425" name="직사각형 3424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426" name="직사각형 3425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3427" name="직사각형 3426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28" name="직사각형 3427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29" name="직사각형 3428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30" name="직사각형 3429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31" name="직사각형 3430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32" name="직사각형 3431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33" name="직사각형 3432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34" name="직사각형 3433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35" name="직사각형 3434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36" name="직사각형 3435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37" name="직사각형 3436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38" name="직사각형 3437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39" name="직사각형 3438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40" name="직사각형 3439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41" name="직사각형 3440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42" name="직사각형 3441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43" name="직사각형 3442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44" name="직사각형 3443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45" name="직사각형 3444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46" name="직사각형 3445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47" name="직사각형 3446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48" name="직사각형 3447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49" name="직사각형 3448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50" name="직사각형 3449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51" name="직사각형 3450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52" name="직사각형 3451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53" name="직사각형 3452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54" name="직사각형 3453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55" name="직사각형 3454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56" name="직사각형 3455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57" name="직사각형 3456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58" name="직사각형 3457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59" name="직사각형 3458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60" name="직사각형 3459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61" name="직사각형 3460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62" name="직사각형 3461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63" name="직사각형 3462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64" name="직사각형 3463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65" name="직사각형 3464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66" name="직사각형 3465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67" name="직사각형 3466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68" name="직사각형 3467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69" name="직사각형 3468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70" name="직사각형 3469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71" name="직사각형 3470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72" name="직사각형 3471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73" name="직사각형 3472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74" name="직사각형 3473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75" name="직사각형 3474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76" name="직사각형 3475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77" name="직사각형 3476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78" name="직사각형 3477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79" name="직사각형 3478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80" name="직사각형 3479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81" name="직사각형 3480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82" name="직사각형 3481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83" name="직사각형 3482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84" name="직사각형 3483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85" name="직사각형 3484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86" name="직사각형 3485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87" name="직사각형 3486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88" name="직사각형 3487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89" name="직사각형 3488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90" name="직사각형 3489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91" name="직사각형 3490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92" name="직사각형 3491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93" name="직사각형 3492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94" name="직사각형 3493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95" name="직사각형 3494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96" name="직사각형 3495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97" name="직사각형 3496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98" name="직사각형 3497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499" name="직사각형 3498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500" name="직사각형 3499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501" name="직사각형 3500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502" name="직사각형 3501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503" name="직사각형 3502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504" name="직사각형 3503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505" name="직사각형 3504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506" name="직사각형 3505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507" name="직사각형 3506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508" name="직사각형 3507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509" name="직사각형 3508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510" name="직사각형 3509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511" name="직사각형 3510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512" name="직사각형 3511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513" name="직사각형 3512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514" name="직사각형 3513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515" name="직사각형 3514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516" name="직사각형 3515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517" name="직사각형 3516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518" name="직사각형 3517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519" name="직사각형 3518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520" name="직사각형 3519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521" name="직사각형 3520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522" name="직사각형 3521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3523" name="직사각형 3522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34" name="직사각형 433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35" name="직사각형 433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36" name="직사각형 433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37" name="직사각형 433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38" name="직사각형 433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39" name="직사각형 433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40" name="직사각형 433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41" name="직사각형 434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42" name="직사각형 434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43" name="직사각형 434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44" name="직사각형 434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45" name="직사각형 434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46" name="직사각형 434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47" name="직사각형 434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48" name="직사각형 434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49" name="직사각형 434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50" name="직사각형 434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51" name="직사각형 435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52" name="직사각형 435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53" name="직사각형 435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54" name="직사각형 435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55" name="직사각형 435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56" name="직사각형 435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57" name="직사각형 435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58" name="직사각형 435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59" name="직사각형 435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60" name="직사각형 435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61" name="직사각형 436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62" name="직사각형 436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63" name="직사각형 436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64" name="직사각형 436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65" name="직사각형 436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66" name="직사각형 436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67" name="직사각형 436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68" name="직사각형 436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69" name="직사각형 436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70" name="직사각형 436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71" name="직사각형 437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72" name="직사각형 437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73" name="직사각형 437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74" name="직사각형 437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75" name="직사각형 437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76" name="직사각형 437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77" name="직사각형 437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78" name="직사각형 437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79" name="직사각형 437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80" name="직사각형 437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81" name="직사각형 438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82" name="직사각형 438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83" name="직사각형 438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84" name="직사각형 438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85" name="직사각형 438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86" name="직사각형 438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87" name="직사각형 438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88" name="직사각형 438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89" name="직사각형 438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90" name="직사각형 438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91" name="직사각형 439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92" name="직사각형 439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93" name="직사각형 439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94" name="직사각형 439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95" name="직사각형 439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96" name="직사각형 439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97" name="직사각형 439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98" name="직사각형 439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399" name="직사각형 439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00" name="직사각형 439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01" name="직사각형 440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02" name="직사각형 440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03" name="직사각형 440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04" name="직사각형 440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05" name="직사각형 440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06" name="직사각형 440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07" name="직사각형 440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08" name="직사각형 440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09" name="직사각형 440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10" name="직사각형 440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11" name="직사각형 441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12" name="직사각형 441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13" name="직사각형 441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14" name="직사각형 441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15" name="직사각형 441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16" name="직사각형 441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17" name="직사각형 441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18" name="직사각형 441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19" name="직사각형 441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20" name="직사각형 441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21" name="직사각형 442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22" name="직사각형 442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23" name="직사각형 442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24" name="직사각형 442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25" name="직사각형 442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26" name="직사각형 442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27" name="직사각형 442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28" name="직사각형 442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29" name="직사각형 442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30" name="직사각형 442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31" name="직사각형 443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32" name="직사각형 443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33" name="직사각형 443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34" name="직사각형 443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35" name="직사각형 443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36" name="직사각형 443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37" name="직사각형 443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38" name="직사각형 443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39" name="직사각형 443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40" name="직사각형 443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41" name="직사각형 444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42" name="직사각형 444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43" name="직사각형 444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44" name="직사각형 444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45" name="직사각형 444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46" name="직사각형 444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47" name="직사각형 444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48" name="직사각형 444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49" name="직사각형 444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50" name="직사각형 444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51" name="직사각형 445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52" name="직사각형 445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53" name="직사각형 445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54" name="직사각형 445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55" name="직사각형 445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56" name="직사각형 445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57" name="직사각형 445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58" name="직사각형 445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59" name="직사각형 445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60" name="직사각형 445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61" name="직사각형 446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62" name="직사각형 446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63" name="직사각형 446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64" name="직사각형 446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65" name="직사각형 446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66" name="직사각형 446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67" name="직사각형 446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68" name="직사각형 446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69" name="직사각형 446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70" name="직사각형 446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71" name="직사각형 447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72" name="직사각형 447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73" name="직사각형 447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74" name="직사각형 447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75" name="직사각형 447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76" name="직사각형 447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77" name="직사각형 447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78" name="직사각형 447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79" name="직사각형 447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80" name="직사각형 447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81" name="직사각형 448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82" name="직사각형 448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83" name="직사각형 448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84" name="직사각형 448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85" name="직사각형 448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86" name="직사각형 448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87" name="직사각형 448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88" name="직사각형 448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89" name="직사각형 448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90" name="직사각형 448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91" name="직사각형 449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92" name="직사각형 449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93" name="직사각형 449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94" name="직사각형 449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95" name="직사각형 449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96" name="직사각형 449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97" name="직사각형 449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98" name="직사각형 449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499" name="직사각형 449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00" name="직사각형 449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01" name="직사각형 450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02" name="직사각형 450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03" name="직사각형 450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04" name="직사각형 450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05" name="직사각형 450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06" name="직사각형 450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07" name="직사각형 450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08" name="직사각형 450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09" name="직사각형 450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10" name="직사각형 450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11" name="직사각형 451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12" name="직사각형 451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13" name="직사각형 451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14" name="직사각형 451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15" name="직사각형 451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16" name="직사각형 451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17" name="직사각형 451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18" name="직사각형 451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19" name="직사각형 451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20" name="직사각형 451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21" name="직사각형 452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22" name="직사각형 452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23" name="직사각형 452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24" name="직사각형 452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25" name="직사각형 452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26" name="직사각형 452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27" name="직사각형 452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28" name="직사각형 452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29" name="직사각형 452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30" name="직사각형 452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31" name="직사각형 453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32" name="직사각형 453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33" name="직사각형 453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34" name="직사각형 453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35" name="직사각형 453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36" name="직사각형 453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37" name="직사각형 453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38" name="직사각형 453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39" name="직사각형 453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40" name="직사각형 453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41" name="직사각형 454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42" name="직사각형 454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43" name="직사각형 454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44" name="직사각형 454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45" name="직사각형 454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46" name="직사각형 454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47" name="직사각형 454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48" name="직사각형 454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49" name="직사각형 454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50" name="직사각형 454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51" name="직사각형 455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52" name="직사각형 455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53" name="직사각형 455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54" name="직사각형 455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55" name="직사각형 455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56" name="직사각형 455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57" name="직사각형 455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58" name="직사각형 455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59" name="직사각형 455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60" name="직사각형 455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61" name="직사각형 456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62" name="직사각형 456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63" name="직사각형 456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64" name="직사각형 456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65" name="직사각형 456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66" name="직사각형 456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67" name="직사각형 456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68" name="직사각형 456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69" name="직사각형 456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70" name="직사각형 456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71" name="직사각형 457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72" name="직사각형 457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73" name="직사각형 457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74" name="직사각형 457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75" name="직사각형 457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76" name="직사각형 457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77" name="직사각형 457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78" name="직사각형 457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79" name="직사각형 457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80" name="직사각형 457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81" name="직사각형 458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82" name="직사각형 458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83" name="직사각형 458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84" name="직사각형 458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85" name="직사각형 458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86" name="직사각형 458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87" name="직사각형 458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88" name="직사각형 458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89" name="직사각형 458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90" name="직사각형 458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91" name="직사각형 459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92" name="직사각형 459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93" name="직사각형 459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94" name="직사각형 459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95" name="직사각형 459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96" name="직사각형 459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97" name="직사각형 459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98" name="직사각형 459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599" name="직사각형 459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00" name="직사각형 459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01" name="직사각형 460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02" name="직사각형 460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03" name="직사각형 460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04" name="직사각형 460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05" name="직사각형 460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06" name="직사각형 460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07" name="직사각형 460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08" name="직사각형 460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09" name="직사각형 460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10" name="직사각형 460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11" name="직사각형 461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12" name="직사각형 461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13" name="직사각형 461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14" name="직사각형 461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15" name="직사각형 461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16" name="직사각형 461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17" name="직사각형 461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18" name="직사각형 461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19" name="직사각형 461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20" name="직사각형 461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21" name="직사각형 462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22" name="직사각형 462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23" name="직사각형 462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24" name="직사각형 462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25" name="직사각형 462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26" name="직사각형 462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27" name="직사각형 462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28" name="직사각형 462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29" name="직사각형 462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30" name="직사각형 462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31" name="직사각형 463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32" name="직사각형 463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33" name="직사각형 463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34" name="직사각형 463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35" name="직사각형 463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36" name="직사각형 463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37" name="직사각형 463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38" name="직사각형 463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39" name="직사각형 463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40" name="직사각형 463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41" name="직사각형 464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42" name="직사각형 464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43" name="직사각형 464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44" name="직사각형 464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45" name="직사각형 464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46" name="직사각형 464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47" name="직사각형 464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48" name="직사각형 464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49" name="직사각형 464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50" name="직사각형 464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51" name="직사각형 465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52" name="직사각형 465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53" name="직사각형 465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54" name="직사각형 465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55" name="직사각형 465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56" name="직사각형 465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57" name="직사각형 465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58" name="직사각형 465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59" name="직사각형 465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60" name="직사각형 465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61" name="직사각형 466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62" name="직사각형 466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63" name="직사각형 466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64" name="직사각형 466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65" name="직사각형 466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66" name="직사각형 466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67" name="직사각형 466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68" name="직사각형 466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69" name="직사각형 466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70" name="직사각형 466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71" name="직사각형 467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72" name="직사각형 467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73" name="직사각형 467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74" name="직사각형 467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75" name="직사각형 467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76" name="직사각형 467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77" name="직사각형 467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78" name="직사각형 467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79" name="직사각형 467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80" name="직사각형 467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81" name="직사각형 468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82" name="직사각형 468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83" name="직사각형 468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84" name="직사각형 468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85" name="직사각형 468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86" name="직사각형 468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87" name="직사각형 468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88" name="직사각형 468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89" name="직사각형 468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90" name="직사각형 468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91" name="직사각형 469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92" name="직사각형 469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93" name="직사각형 469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94" name="직사각형 469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95" name="직사각형 469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96" name="직사각형 469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97" name="직사각형 469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98" name="직사각형 469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699" name="직사각형 469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00" name="직사각형 469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01" name="직사각형 470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02" name="직사각형 470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03" name="직사각형 470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04" name="직사각형 470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05" name="직사각형 470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06" name="직사각형 470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07" name="직사각형 470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08" name="직사각형 470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09" name="직사각형 470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10" name="직사각형 470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11" name="직사각형 471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12" name="직사각형 471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13" name="직사각형 471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14" name="직사각형 471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15" name="직사각형 471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16" name="직사각형 471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17" name="직사각형 471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18" name="직사각형 471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19" name="직사각형 471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20" name="직사각형 471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21" name="직사각형 472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22" name="직사각형 472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23" name="직사각형 472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24" name="직사각형 472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25" name="직사각형 472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26" name="직사각형 472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27" name="직사각형 472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28" name="직사각형 472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29" name="직사각형 472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30" name="직사각형 472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31" name="직사각형 473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32" name="직사각형 473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33" name="직사각형 473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34" name="직사각형 473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35" name="직사각형 473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36" name="직사각형 473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37" name="직사각형 473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38" name="직사각형 473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39" name="직사각형 473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40" name="직사각형 473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41" name="직사각형 474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42" name="직사각형 474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43" name="직사각형 474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44" name="직사각형 474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45" name="직사각형 474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46" name="직사각형 474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47" name="직사각형 474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48" name="직사각형 474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49" name="직사각형 474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50" name="직사각형 474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51" name="직사각형 475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52" name="직사각형 475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53" name="직사각형 475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54" name="직사각형 475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55" name="직사각형 475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56" name="직사각형 475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57" name="직사각형 475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58" name="직사각형 475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59" name="직사각형 475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60" name="직사각형 475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61" name="직사각형 476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62" name="직사각형 476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63" name="직사각형 476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64" name="직사각형 476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65" name="직사각형 476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66" name="직사각형 476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67" name="직사각형 476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68" name="직사각형 476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69" name="직사각형 476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70" name="직사각형 476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71" name="직사각형 477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72" name="직사각형 477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73" name="직사각형 477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74" name="직사각형 477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75" name="직사각형 477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76" name="직사각형 477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77" name="직사각형 477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78" name="직사각형 477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79" name="직사각형 477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80" name="직사각형 477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81" name="직사각형 478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82" name="직사각형 478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83" name="직사각형 478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84" name="직사각형 478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85" name="직사각형 478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86" name="직사각형 478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87" name="직사각형 478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88" name="직사각형 478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89" name="직사각형 478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90" name="직사각형 478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91" name="직사각형 479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92" name="직사각형 479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93" name="직사각형 479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94" name="직사각형 479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95" name="직사각형 479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96" name="직사각형 479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97" name="직사각형 479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98" name="직사각형 479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799" name="직사각형 479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00" name="직사각형 479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01" name="직사각형 480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02" name="직사각형 480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03" name="직사각형 480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04" name="직사각형 480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05" name="직사각형 480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06" name="직사각형 480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07" name="직사각형 480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08" name="직사각형 480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09" name="직사각형 480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10" name="직사각형 480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11" name="직사각형 481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12" name="직사각형 481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13" name="직사각형 481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14" name="직사각형 481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15" name="직사각형 481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16" name="직사각형 481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17" name="직사각형 481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18" name="직사각형 481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19" name="직사각형 481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20" name="직사각형 481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21" name="직사각형 482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22" name="직사각형 482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23" name="직사각형 482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24" name="직사각형 482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25" name="직사각형 482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26" name="직사각형 482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27" name="직사각형 482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28" name="직사각형 482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29" name="직사각형 482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30" name="직사각형 482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31" name="직사각형 483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32" name="직사각형 483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33" name="직사각형 483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34" name="직사각형 483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35" name="직사각형 483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36" name="직사각형 483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37" name="직사각형 483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38" name="직사각형 483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39" name="직사각형 483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40" name="직사각형 483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41" name="직사각형 484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42" name="직사각형 484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43" name="직사각형 484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44" name="직사각형 484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45" name="직사각형 484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46" name="직사각형 484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47" name="직사각형 484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48" name="직사각형 484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49" name="직사각형 484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50" name="직사각형 484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51" name="직사각형 485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52" name="직사각형 485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53" name="직사각형 485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54" name="직사각형 485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55" name="직사각형 485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56" name="직사각형 485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57" name="직사각형 485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58" name="직사각형 485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59" name="직사각형 485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60" name="직사각형 485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61" name="직사각형 486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62" name="직사각형 486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63" name="직사각형 486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64" name="직사각형 486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65" name="직사각형 486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66" name="직사각형 486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67" name="직사각형 486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68" name="직사각형 486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69" name="직사각형 486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70" name="직사각형 486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71" name="직사각형 487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72" name="직사각형 487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73" name="직사각형 487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74" name="직사각형 487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75" name="직사각형 487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76" name="직사각형 487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77" name="직사각형 487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78" name="직사각형 487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79" name="직사각형 487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80" name="직사각형 487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81" name="직사각형 488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82" name="직사각형 488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83" name="직사각형 488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84" name="직사각형 488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85" name="직사각형 488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86" name="직사각형 488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87" name="직사각형 488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88" name="직사각형 488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89" name="직사각형 488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90" name="직사각형 488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91" name="직사각형 489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92" name="직사각형 489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93" name="직사각형 489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94" name="직사각형 489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95" name="직사각형 489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96" name="직사각형 489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97" name="직사각형 489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98" name="직사각형 489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899" name="직사각형 489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00" name="직사각형 489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01" name="직사각형 490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02" name="직사각형 490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03" name="직사각형 490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04" name="직사각형 490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05" name="직사각형 490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06" name="직사각형 490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07" name="직사각형 490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08" name="직사각형 490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09" name="직사각형 490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10" name="직사각형 490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11" name="직사각형 491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12" name="직사각형 491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13" name="직사각형 491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14" name="직사각형 491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15" name="직사각형 491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16" name="직사각형 491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17" name="직사각형 491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18" name="직사각형 491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19" name="직사각형 491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20" name="직사각형 491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21" name="직사각형 492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22" name="직사각형 492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23" name="직사각형 492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24" name="직사각형 492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25" name="직사각형 492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26" name="직사각형 492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27" name="직사각형 492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28" name="직사각형 492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29" name="직사각형 492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30" name="직사각형 492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31" name="직사각형 493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32" name="직사각형 493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33" name="직사각형 493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34" name="직사각형 493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35" name="직사각형 493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36" name="직사각형 493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37" name="직사각형 493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38" name="직사각형 493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39" name="직사각형 493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40" name="직사각형 493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41" name="직사각형 494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42" name="직사각형 494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43" name="직사각형 494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44" name="직사각형 494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45" name="직사각형 494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46" name="직사각형 494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47" name="직사각형 494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48" name="직사각형 494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49" name="직사각형 494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50" name="직사각형 494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51" name="직사각형 495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52" name="직사각형 495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53" name="직사각형 495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54" name="직사각형 495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55" name="직사각형 495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56" name="직사각형 495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57" name="직사각형 495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58" name="직사각형 495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59" name="직사각형 495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60" name="직사각형 495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61" name="직사각형 496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62" name="직사각형 496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63" name="직사각형 496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64" name="직사각형 496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65" name="직사각형 496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66" name="직사각형 496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67" name="직사각형 496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68" name="직사각형 496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69" name="직사각형 496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70" name="직사각형 496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71" name="직사각형 497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72" name="직사각형 497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73" name="직사각형 497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74" name="직사각형 497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75" name="직사각형 497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76" name="직사각형 497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77" name="직사각형 497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78" name="직사각형 497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79" name="직사각형 497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80" name="직사각형 497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81" name="직사각형 498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82" name="직사각형 498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83" name="직사각형 498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84" name="직사각형 498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85" name="직사각형 498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86" name="직사각형 498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87" name="직사각형 498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88" name="직사각형 498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89" name="직사각형 498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90" name="직사각형 498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91" name="직사각형 499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92" name="직사각형 499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93" name="직사각형 499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94" name="직사각형 499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95" name="직사각형 499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96" name="직사각형 499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97" name="직사각형 499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98" name="직사각형 499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4999" name="직사각형 499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00" name="직사각형 499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01" name="직사각형 500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02" name="직사각형 500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03" name="직사각형 500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04" name="직사각형 500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05" name="직사각형 500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06" name="직사각형 500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07" name="직사각형 500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08" name="직사각형 500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09" name="직사각형 500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10" name="직사각형 500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11" name="직사각형 501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12" name="직사각형 501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13" name="직사각형 501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14" name="직사각형 501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15" name="직사각형 501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16" name="직사각형 501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17" name="직사각형 501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18" name="직사각형 501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19" name="직사각형 501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20" name="직사각형 501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21" name="직사각형 502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22" name="직사각형 502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23" name="직사각형 502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24" name="직사각형 502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25" name="직사각형 502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26" name="직사각형 502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27" name="직사각형 502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28" name="직사각형 502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29" name="직사각형 502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30" name="직사각형 502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31" name="직사각형 503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32" name="직사각형 503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33" name="직사각형 503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34" name="직사각형 503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35" name="직사각형 503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36" name="직사각형 503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37" name="직사각형 503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38" name="직사각형 503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39" name="직사각형 503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40" name="직사각형 503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41" name="직사각형 504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42" name="직사각형 504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43" name="직사각형 504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44" name="직사각형 504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45" name="직사각형 504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46" name="직사각형 504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47" name="직사각형 504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48" name="직사각형 504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49" name="직사각형 504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50" name="직사각형 504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51" name="직사각형 505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52" name="직사각형 505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53" name="직사각형 505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54" name="직사각형 505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55" name="직사각형 505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56" name="직사각형 505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57" name="직사각형 505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58" name="직사각형 505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59" name="직사각형 505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60" name="직사각형 505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61" name="직사각형 506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62" name="직사각형 506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63" name="직사각형 506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64" name="직사각형 506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65" name="직사각형 506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66" name="직사각형 506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67" name="직사각형 506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68" name="직사각형 506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69" name="직사각형 506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70" name="직사각형 506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71" name="직사각형 507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72" name="직사각형 507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73" name="직사각형 507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74" name="직사각형 507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75" name="직사각형 507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76" name="직사각형 507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77" name="직사각형 507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78" name="직사각형 507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79" name="직사각형 507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80" name="직사각형 507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81" name="직사각형 508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82" name="직사각형 508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83" name="직사각형 508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84" name="직사각형 508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85" name="직사각형 508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86" name="직사각형 508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87" name="직사각형 508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88" name="직사각형 508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89" name="직사각형 508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90" name="직사각형 508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91" name="직사각형 509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92" name="직사각형 509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93" name="직사각형 509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94" name="직사각형 509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95" name="직사각형 509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96" name="직사각형 509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97" name="직사각형 509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98" name="직사각형 509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099" name="직사각형 509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100" name="직사각형 509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101" name="직사각형 510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102" name="직사각형 510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103" name="직사각형 510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104" name="직사각형 510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105" name="직사각형 510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106" name="직사각형 510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107" name="직사각형 510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108" name="직사각형 510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109" name="직사각형 510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110" name="직사각형 510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111" name="직사각형 511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112" name="직사각형 511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113" name="직사각형 511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114" name="직사각형 511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115" name="직사각형 511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116" name="직사각형 511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117" name="직사각형 511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118" name="직사각형 511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119" name="직사각형 511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120" name="직사각형 511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121" name="직사각형 512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122" name="직사각형 512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123" name="직사각형 512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124" name="직사각형 512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125" name="직사각형 512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126" name="직사각형 512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127" name="직사각형 512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128" name="직사각형 512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129" name="직사각형 512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130" name="직사각형 512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131" name="직사각형 513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132" name="직사각형 513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133" name="직사각형 513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134" name="직사각형 5133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135" name="직사각형 5134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136" name="직사각형 5135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137" name="직사각형 5136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138" name="직사각형 5137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139" name="직사각형 5138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140" name="직사각형 5139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141" name="직사각형 5140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142" name="직사각형 5141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13</xdr:row>
      <xdr:rowOff>0</xdr:rowOff>
    </xdr:from>
    <xdr:to>
      <xdr:col>14</xdr:col>
      <xdr:colOff>0</xdr:colOff>
      <xdr:row>14</xdr:row>
      <xdr:rowOff>57150</xdr:rowOff>
    </xdr:to>
    <xdr:sp macro="" textlink="">
      <xdr:nvSpPr>
        <xdr:cNvPr id="5143" name="직사각형 5142"/>
        <xdr:cNvSpPr/>
      </xdr:nvSpPr>
      <xdr:spPr>
        <a:xfrm>
          <a:off x="7127874" y="304006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259</xdr:row>
      <xdr:rowOff>0</xdr:rowOff>
    </xdr:from>
    <xdr:to>
      <xdr:col>14</xdr:col>
      <xdr:colOff>0</xdr:colOff>
      <xdr:row>260</xdr:row>
      <xdr:rowOff>57150</xdr:rowOff>
    </xdr:to>
    <xdr:sp macro="" textlink="">
      <xdr:nvSpPr>
        <xdr:cNvPr id="5144" name="직사각형 5143"/>
        <xdr:cNvSpPr/>
      </xdr:nvSpPr>
      <xdr:spPr>
        <a:xfrm>
          <a:off x="7127874" y="5269706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259</xdr:row>
      <xdr:rowOff>0</xdr:rowOff>
    </xdr:from>
    <xdr:to>
      <xdr:col>14</xdr:col>
      <xdr:colOff>0</xdr:colOff>
      <xdr:row>260</xdr:row>
      <xdr:rowOff>57150</xdr:rowOff>
    </xdr:to>
    <xdr:sp macro="" textlink="">
      <xdr:nvSpPr>
        <xdr:cNvPr id="5145" name="직사각형 5144"/>
        <xdr:cNvSpPr/>
      </xdr:nvSpPr>
      <xdr:spPr>
        <a:xfrm>
          <a:off x="7127874" y="5269706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259</xdr:row>
      <xdr:rowOff>0</xdr:rowOff>
    </xdr:from>
    <xdr:to>
      <xdr:col>14</xdr:col>
      <xdr:colOff>0</xdr:colOff>
      <xdr:row>260</xdr:row>
      <xdr:rowOff>57150</xdr:rowOff>
    </xdr:to>
    <xdr:sp macro="" textlink="">
      <xdr:nvSpPr>
        <xdr:cNvPr id="5146" name="직사각형 5145"/>
        <xdr:cNvSpPr/>
      </xdr:nvSpPr>
      <xdr:spPr>
        <a:xfrm>
          <a:off x="7127874" y="5269706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259</xdr:row>
      <xdr:rowOff>0</xdr:rowOff>
    </xdr:from>
    <xdr:to>
      <xdr:col>14</xdr:col>
      <xdr:colOff>0</xdr:colOff>
      <xdr:row>260</xdr:row>
      <xdr:rowOff>57150</xdr:rowOff>
    </xdr:to>
    <xdr:sp macro="" textlink="">
      <xdr:nvSpPr>
        <xdr:cNvPr id="5147" name="직사각형 5146"/>
        <xdr:cNvSpPr/>
      </xdr:nvSpPr>
      <xdr:spPr>
        <a:xfrm>
          <a:off x="7127874" y="5269706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259</xdr:row>
      <xdr:rowOff>0</xdr:rowOff>
    </xdr:from>
    <xdr:to>
      <xdr:col>14</xdr:col>
      <xdr:colOff>0</xdr:colOff>
      <xdr:row>260</xdr:row>
      <xdr:rowOff>57150</xdr:rowOff>
    </xdr:to>
    <xdr:sp macro="" textlink="">
      <xdr:nvSpPr>
        <xdr:cNvPr id="5148" name="직사각형 5147"/>
        <xdr:cNvSpPr/>
      </xdr:nvSpPr>
      <xdr:spPr>
        <a:xfrm>
          <a:off x="7127874" y="5269706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259</xdr:row>
      <xdr:rowOff>0</xdr:rowOff>
    </xdr:from>
    <xdr:to>
      <xdr:col>14</xdr:col>
      <xdr:colOff>0</xdr:colOff>
      <xdr:row>260</xdr:row>
      <xdr:rowOff>57150</xdr:rowOff>
    </xdr:to>
    <xdr:sp macro="" textlink="">
      <xdr:nvSpPr>
        <xdr:cNvPr id="5149" name="직사각형 5148"/>
        <xdr:cNvSpPr/>
      </xdr:nvSpPr>
      <xdr:spPr>
        <a:xfrm>
          <a:off x="7127874" y="5269706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259</xdr:row>
      <xdr:rowOff>0</xdr:rowOff>
    </xdr:from>
    <xdr:to>
      <xdr:col>14</xdr:col>
      <xdr:colOff>0</xdr:colOff>
      <xdr:row>260</xdr:row>
      <xdr:rowOff>57150</xdr:rowOff>
    </xdr:to>
    <xdr:sp macro="" textlink="">
      <xdr:nvSpPr>
        <xdr:cNvPr id="5150" name="직사각형 5149"/>
        <xdr:cNvSpPr/>
      </xdr:nvSpPr>
      <xdr:spPr>
        <a:xfrm>
          <a:off x="7127874" y="5269706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259</xdr:row>
      <xdr:rowOff>0</xdr:rowOff>
    </xdr:from>
    <xdr:to>
      <xdr:col>14</xdr:col>
      <xdr:colOff>0</xdr:colOff>
      <xdr:row>260</xdr:row>
      <xdr:rowOff>57150</xdr:rowOff>
    </xdr:to>
    <xdr:sp macro="" textlink="">
      <xdr:nvSpPr>
        <xdr:cNvPr id="5151" name="직사각형 5150"/>
        <xdr:cNvSpPr/>
      </xdr:nvSpPr>
      <xdr:spPr>
        <a:xfrm>
          <a:off x="7127874" y="52697060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38100</xdr:colOff>
      <xdr:row>110</xdr:row>
      <xdr:rowOff>0</xdr:rowOff>
    </xdr:from>
    <xdr:to>
      <xdr:col>14</xdr:col>
      <xdr:colOff>9525</xdr:colOff>
      <xdr:row>111</xdr:row>
      <xdr:rowOff>76200</xdr:rowOff>
    </xdr:to>
    <xdr:sp macro="" textlink="">
      <xdr:nvSpPr>
        <xdr:cNvPr id="4226" name="직사각형 4225"/>
        <xdr:cNvSpPr/>
      </xdr:nvSpPr>
      <xdr:spPr>
        <a:xfrm>
          <a:off x="7159624" y="23058438"/>
          <a:ext cx="888999" cy="285749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38100</xdr:colOff>
      <xdr:row>110</xdr:row>
      <xdr:rowOff>0</xdr:rowOff>
    </xdr:from>
    <xdr:to>
      <xdr:col>14</xdr:col>
      <xdr:colOff>9525</xdr:colOff>
      <xdr:row>111</xdr:row>
      <xdr:rowOff>76200</xdr:rowOff>
    </xdr:to>
    <xdr:sp macro="" textlink="">
      <xdr:nvSpPr>
        <xdr:cNvPr id="4227" name="직사각형 4226"/>
        <xdr:cNvSpPr/>
      </xdr:nvSpPr>
      <xdr:spPr>
        <a:xfrm>
          <a:off x="7159624" y="23058438"/>
          <a:ext cx="888999" cy="285749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38100</xdr:colOff>
      <xdr:row>110</xdr:row>
      <xdr:rowOff>0</xdr:rowOff>
    </xdr:from>
    <xdr:to>
      <xdr:col>14</xdr:col>
      <xdr:colOff>9525</xdr:colOff>
      <xdr:row>111</xdr:row>
      <xdr:rowOff>76200</xdr:rowOff>
    </xdr:to>
    <xdr:sp macro="" textlink="">
      <xdr:nvSpPr>
        <xdr:cNvPr id="4228" name="직사각형 4227"/>
        <xdr:cNvSpPr/>
      </xdr:nvSpPr>
      <xdr:spPr>
        <a:xfrm>
          <a:off x="7159624" y="23058438"/>
          <a:ext cx="888999" cy="285749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38100</xdr:colOff>
      <xdr:row>110</xdr:row>
      <xdr:rowOff>0</xdr:rowOff>
    </xdr:from>
    <xdr:to>
      <xdr:col>14</xdr:col>
      <xdr:colOff>9525</xdr:colOff>
      <xdr:row>111</xdr:row>
      <xdr:rowOff>76200</xdr:rowOff>
    </xdr:to>
    <xdr:sp macro="" textlink="">
      <xdr:nvSpPr>
        <xdr:cNvPr id="4229" name="직사각형 4228"/>
        <xdr:cNvSpPr/>
      </xdr:nvSpPr>
      <xdr:spPr>
        <a:xfrm>
          <a:off x="7159624" y="23058438"/>
          <a:ext cx="888999" cy="285749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38100</xdr:colOff>
      <xdr:row>110</xdr:row>
      <xdr:rowOff>0</xdr:rowOff>
    </xdr:from>
    <xdr:to>
      <xdr:col>14</xdr:col>
      <xdr:colOff>9525</xdr:colOff>
      <xdr:row>111</xdr:row>
      <xdr:rowOff>76200</xdr:rowOff>
    </xdr:to>
    <xdr:sp macro="" textlink="">
      <xdr:nvSpPr>
        <xdr:cNvPr id="4230" name="직사각형 4229"/>
        <xdr:cNvSpPr/>
      </xdr:nvSpPr>
      <xdr:spPr>
        <a:xfrm>
          <a:off x="7159624" y="23058438"/>
          <a:ext cx="888999" cy="285749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38100</xdr:colOff>
      <xdr:row>110</xdr:row>
      <xdr:rowOff>0</xdr:rowOff>
    </xdr:from>
    <xdr:to>
      <xdr:col>14</xdr:col>
      <xdr:colOff>9525</xdr:colOff>
      <xdr:row>111</xdr:row>
      <xdr:rowOff>76200</xdr:rowOff>
    </xdr:to>
    <xdr:sp macro="" textlink="">
      <xdr:nvSpPr>
        <xdr:cNvPr id="4231" name="직사각형 4230"/>
        <xdr:cNvSpPr/>
      </xdr:nvSpPr>
      <xdr:spPr>
        <a:xfrm>
          <a:off x="7159624" y="23058438"/>
          <a:ext cx="888999" cy="285749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38100</xdr:colOff>
      <xdr:row>110</xdr:row>
      <xdr:rowOff>0</xdr:rowOff>
    </xdr:from>
    <xdr:to>
      <xdr:col>14</xdr:col>
      <xdr:colOff>9525</xdr:colOff>
      <xdr:row>111</xdr:row>
      <xdr:rowOff>76200</xdr:rowOff>
    </xdr:to>
    <xdr:sp macro="" textlink="">
      <xdr:nvSpPr>
        <xdr:cNvPr id="4232" name="직사각형 4231"/>
        <xdr:cNvSpPr/>
      </xdr:nvSpPr>
      <xdr:spPr>
        <a:xfrm>
          <a:off x="7159624" y="23058438"/>
          <a:ext cx="888999" cy="285749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38100</xdr:colOff>
      <xdr:row>110</xdr:row>
      <xdr:rowOff>0</xdr:rowOff>
    </xdr:from>
    <xdr:to>
      <xdr:col>14</xdr:col>
      <xdr:colOff>9525</xdr:colOff>
      <xdr:row>111</xdr:row>
      <xdr:rowOff>76200</xdr:rowOff>
    </xdr:to>
    <xdr:sp macro="" textlink="">
      <xdr:nvSpPr>
        <xdr:cNvPr id="4233" name="직사각형 4232"/>
        <xdr:cNvSpPr/>
      </xdr:nvSpPr>
      <xdr:spPr>
        <a:xfrm>
          <a:off x="7159624" y="23058438"/>
          <a:ext cx="888999" cy="285749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38100</xdr:colOff>
      <xdr:row>110</xdr:row>
      <xdr:rowOff>0</xdr:rowOff>
    </xdr:from>
    <xdr:to>
      <xdr:col>14</xdr:col>
      <xdr:colOff>9525</xdr:colOff>
      <xdr:row>111</xdr:row>
      <xdr:rowOff>76200</xdr:rowOff>
    </xdr:to>
    <xdr:sp macro="" textlink="">
      <xdr:nvSpPr>
        <xdr:cNvPr id="4234" name="직사각형 4233"/>
        <xdr:cNvSpPr/>
      </xdr:nvSpPr>
      <xdr:spPr>
        <a:xfrm>
          <a:off x="7159624" y="23058438"/>
          <a:ext cx="888999" cy="285749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38100</xdr:colOff>
      <xdr:row>110</xdr:row>
      <xdr:rowOff>0</xdr:rowOff>
    </xdr:from>
    <xdr:to>
      <xdr:col>14</xdr:col>
      <xdr:colOff>9525</xdr:colOff>
      <xdr:row>111</xdr:row>
      <xdr:rowOff>76200</xdr:rowOff>
    </xdr:to>
    <xdr:sp macro="" textlink="">
      <xdr:nvSpPr>
        <xdr:cNvPr id="4235" name="직사각형 4234"/>
        <xdr:cNvSpPr/>
      </xdr:nvSpPr>
      <xdr:spPr>
        <a:xfrm>
          <a:off x="7159624" y="23058438"/>
          <a:ext cx="888999" cy="285749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38100</xdr:colOff>
      <xdr:row>110</xdr:row>
      <xdr:rowOff>0</xdr:rowOff>
    </xdr:from>
    <xdr:to>
      <xdr:col>14</xdr:col>
      <xdr:colOff>9525</xdr:colOff>
      <xdr:row>111</xdr:row>
      <xdr:rowOff>76200</xdr:rowOff>
    </xdr:to>
    <xdr:sp macro="" textlink="">
      <xdr:nvSpPr>
        <xdr:cNvPr id="4236" name="직사각형 4235"/>
        <xdr:cNvSpPr/>
      </xdr:nvSpPr>
      <xdr:spPr>
        <a:xfrm>
          <a:off x="7159624" y="23058438"/>
          <a:ext cx="888999" cy="285749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38100</xdr:colOff>
      <xdr:row>110</xdr:row>
      <xdr:rowOff>0</xdr:rowOff>
    </xdr:from>
    <xdr:to>
      <xdr:col>14</xdr:col>
      <xdr:colOff>9525</xdr:colOff>
      <xdr:row>111</xdr:row>
      <xdr:rowOff>76200</xdr:rowOff>
    </xdr:to>
    <xdr:sp macro="" textlink="">
      <xdr:nvSpPr>
        <xdr:cNvPr id="4237" name="직사각형 4236"/>
        <xdr:cNvSpPr/>
      </xdr:nvSpPr>
      <xdr:spPr>
        <a:xfrm>
          <a:off x="7159624" y="23058438"/>
          <a:ext cx="888999" cy="285749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38100</xdr:colOff>
      <xdr:row>110</xdr:row>
      <xdr:rowOff>0</xdr:rowOff>
    </xdr:from>
    <xdr:to>
      <xdr:col>14</xdr:col>
      <xdr:colOff>9525</xdr:colOff>
      <xdr:row>111</xdr:row>
      <xdr:rowOff>76200</xdr:rowOff>
    </xdr:to>
    <xdr:sp macro="" textlink="">
      <xdr:nvSpPr>
        <xdr:cNvPr id="4238" name="직사각형 4237"/>
        <xdr:cNvSpPr/>
      </xdr:nvSpPr>
      <xdr:spPr>
        <a:xfrm>
          <a:off x="7159624" y="23058438"/>
          <a:ext cx="888999" cy="285749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38100</xdr:colOff>
      <xdr:row>110</xdr:row>
      <xdr:rowOff>0</xdr:rowOff>
    </xdr:from>
    <xdr:to>
      <xdr:col>14</xdr:col>
      <xdr:colOff>9525</xdr:colOff>
      <xdr:row>111</xdr:row>
      <xdr:rowOff>76200</xdr:rowOff>
    </xdr:to>
    <xdr:sp macro="" textlink="">
      <xdr:nvSpPr>
        <xdr:cNvPr id="4239" name="직사각형 4238"/>
        <xdr:cNvSpPr/>
      </xdr:nvSpPr>
      <xdr:spPr>
        <a:xfrm>
          <a:off x="7159624" y="23058438"/>
          <a:ext cx="888999" cy="285749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38100</xdr:colOff>
      <xdr:row>110</xdr:row>
      <xdr:rowOff>0</xdr:rowOff>
    </xdr:from>
    <xdr:to>
      <xdr:col>14</xdr:col>
      <xdr:colOff>9525</xdr:colOff>
      <xdr:row>111</xdr:row>
      <xdr:rowOff>76200</xdr:rowOff>
    </xdr:to>
    <xdr:sp macro="" textlink="">
      <xdr:nvSpPr>
        <xdr:cNvPr id="4240" name="직사각형 4239"/>
        <xdr:cNvSpPr/>
      </xdr:nvSpPr>
      <xdr:spPr>
        <a:xfrm>
          <a:off x="7159624" y="23058438"/>
          <a:ext cx="888999" cy="285749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38100</xdr:colOff>
      <xdr:row>110</xdr:row>
      <xdr:rowOff>0</xdr:rowOff>
    </xdr:from>
    <xdr:to>
      <xdr:col>14</xdr:col>
      <xdr:colOff>9525</xdr:colOff>
      <xdr:row>111</xdr:row>
      <xdr:rowOff>76200</xdr:rowOff>
    </xdr:to>
    <xdr:sp macro="" textlink="">
      <xdr:nvSpPr>
        <xdr:cNvPr id="4241" name="직사각형 4240"/>
        <xdr:cNvSpPr/>
      </xdr:nvSpPr>
      <xdr:spPr>
        <a:xfrm>
          <a:off x="7159624" y="23058438"/>
          <a:ext cx="888999" cy="285749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38100</xdr:colOff>
      <xdr:row>110</xdr:row>
      <xdr:rowOff>0</xdr:rowOff>
    </xdr:from>
    <xdr:to>
      <xdr:col>14</xdr:col>
      <xdr:colOff>9525</xdr:colOff>
      <xdr:row>111</xdr:row>
      <xdr:rowOff>76200</xdr:rowOff>
    </xdr:to>
    <xdr:sp macro="" textlink="">
      <xdr:nvSpPr>
        <xdr:cNvPr id="4242" name="직사각형 4241"/>
        <xdr:cNvSpPr/>
      </xdr:nvSpPr>
      <xdr:spPr>
        <a:xfrm>
          <a:off x="7159624" y="23058438"/>
          <a:ext cx="888999" cy="285749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38100</xdr:colOff>
      <xdr:row>110</xdr:row>
      <xdr:rowOff>0</xdr:rowOff>
    </xdr:from>
    <xdr:to>
      <xdr:col>14</xdr:col>
      <xdr:colOff>9525</xdr:colOff>
      <xdr:row>111</xdr:row>
      <xdr:rowOff>76200</xdr:rowOff>
    </xdr:to>
    <xdr:sp macro="" textlink="">
      <xdr:nvSpPr>
        <xdr:cNvPr id="4243" name="직사각형 4242"/>
        <xdr:cNvSpPr/>
      </xdr:nvSpPr>
      <xdr:spPr>
        <a:xfrm>
          <a:off x="7159624" y="23058438"/>
          <a:ext cx="888999" cy="285749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38100</xdr:colOff>
      <xdr:row>110</xdr:row>
      <xdr:rowOff>0</xdr:rowOff>
    </xdr:from>
    <xdr:to>
      <xdr:col>14</xdr:col>
      <xdr:colOff>9525</xdr:colOff>
      <xdr:row>111</xdr:row>
      <xdr:rowOff>76200</xdr:rowOff>
    </xdr:to>
    <xdr:sp macro="" textlink="">
      <xdr:nvSpPr>
        <xdr:cNvPr id="4244" name="직사각형 4243"/>
        <xdr:cNvSpPr/>
      </xdr:nvSpPr>
      <xdr:spPr>
        <a:xfrm>
          <a:off x="7159624" y="23058438"/>
          <a:ext cx="888999" cy="285749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38100</xdr:colOff>
      <xdr:row>110</xdr:row>
      <xdr:rowOff>0</xdr:rowOff>
    </xdr:from>
    <xdr:to>
      <xdr:col>14</xdr:col>
      <xdr:colOff>9525</xdr:colOff>
      <xdr:row>111</xdr:row>
      <xdr:rowOff>76200</xdr:rowOff>
    </xdr:to>
    <xdr:sp macro="" textlink="">
      <xdr:nvSpPr>
        <xdr:cNvPr id="4245" name="직사각형 4244"/>
        <xdr:cNvSpPr/>
      </xdr:nvSpPr>
      <xdr:spPr>
        <a:xfrm>
          <a:off x="7159624" y="23058438"/>
          <a:ext cx="888999" cy="285749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38100</xdr:colOff>
      <xdr:row>110</xdr:row>
      <xdr:rowOff>0</xdr:rowOff>
    </xdr:from>
    <xdr:to>
      <xdr:col>14</xdr:col>
      <xdr:colOff>9525</xdr:colOff>
      <xdr:row>111</xdr:row>
      <xdr:rowOff>76200</xdr:rowOff>
    </xdr:to>
    <xdr:sp macro="" textlink="">
      <xdr:nvSpPr>
        <xdr:cNvPr id="4246" name="직사각형 4245"/>
        <xdr:cNvSpPr/>
      </xdr:nvSpPr>
      <xdr:spPr>
        <a:xfrm>
          <a:off x="7159624" y="23058438"/>
          <a:ext cx="888999" cy="285749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38100</xdr:colOff>
      <xdr:row>110</xdr:row>
      <xdr:rowOff>0</xdr:rowOff>
    </xdr:from>
    <xdr:to>
      <xdr:col>14</xdr:col>
      <xdr:colOff>9525</xdr:colOff>
      <xdr:row>111</xdr:row>
      <xdr:rowOff>76200</xdr:rowOff>
    </xdr:to>
    <xdr:sp macro="" textlink="">
      <xdr:nvSpPr>
        <xdr:cNvPr id="4247" name="직사각형 4246"/>
        <xdr:cNvSpPr/>
      </xdr:nvSpPr>
      <xdr:spPr>
        <a:xfrm>
          <a:off x="7159624" y="23058438"/>
          <a:ext cx="888999" cy="285749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260</xdr:row>
      <xdr:rowOff>0</xdr:rowOff>
    </xdr:from>
    <xdr:to>
      <xdr:col>14</xdr:col>
      <xdr:colOff>0</xdr:colOff>
      <xdr:row>261</xdr:row>
      <xdr:rowOff>57150</xdr:rowOff>
    </xdr:to>
    <xdr:sp macro="" textlink="">
      <xdr:nvSpPr>
        <xdr:cNvPr id="4248" name="직사각형 4247"/>
        <xdr:cNvSpPr/>
      </xdr:nvSpPr>
      <xdr:spPr>
        <a:xfrm>
          <a:off x="7127874" y="52903436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260</xdr:row>
      <xdr:rowOff>0</xdr:rowOff>
    </xdr:from>
    <xdr:to>
      <xdr:col>14</xdr:col>
      <xdr:colOff>0</xdr:colOff>
      <xdr:row>261</xdr:row>
      <xdr:rowOff>57150</xdr:rowOff>
    </xdr:to>
    <xdr:sp macro="" textlink="">
      <xdr:nvSpPr>
        <xdr:cNvPr id="4249" name="직사각형 4248"/>
        <xdr:cNvSpPr/>
      </xdr:nvSpPr>
      <xdr:spPr>
        <a:xfrm>
          <a:off x="7127874" y="52903436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260</xdr:row>
      <xdr:rowOff>0</xdr:rowOff>
    </xdr:from>
    <xdr:to>
      <xdr:col>14</xdr:col>
      <xdr:colOff>0</xdr:colOff>
      <xdr:row>261</xdr:row>
      <xdr:rowOff>57150</xdr:rowOff>
    </xdr:to>
    <xdr:sp macro="" textlink="">
      <xdr:nvSpPr>
        <xdr:cNvPr id="4250" name="직사각형 4249"/>
        <xdr:cNvSpPr/>
      </xdr:nvSpPr>
      <xdr:spPr>
        <a:xfrm>
          <a:off x="7127874" y="52903436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260</xdr:row>
      <xdr:rowOff>0</xdr:rowOff>
    </xdr:from>
    <xdr:to>
      <xdr:col>14</xdr:col>
      <xdr:colOff>0</xdr:colOff>
      <xdr:row>261</xdr:row>
      <xdr:rowOff>57150</xdr:rowOff>
    </xdr:to>
    <xdr:sp macro="" textlink="">
      <xdr:nvSpPr>
        <xdr:cNvPr id="4251" name="직사각형 4250"/>
        <xdr:cNvSpPr/>
      </xdr:nvSpPr>
      <xdr:spPr>
        <a:xfrm>
          <a:off x="7127874" y="52903436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260</xdr:row>
      <xdr:rowOff>0</xdr:rowOff>
    </xdr:from>
    <xdr:to>
      <xdr:col>14</xdr:col>
      <xdr:colOff>0</xdr:colOff>
      <xdr:row>261</xdr:row>
      <xdr:rowOff>57150</xdr:rowOff>
    </xdr:to>
    <xdr:sp macro="" textlink="">
      <xdr:nvSpPr>
        <xdr:cNvPr id="4252" name="직사각형 4251"/>
        <xdr:cNvSpPr/>
      </xdr:nvSpPr>
      <xdr:spPr>
        <a:xfrm>
          <a:off x="7127874" y="52903436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260</xdr:row>
      <xdr:rowOff>0</xdr:rowOff>
    </xdr:from>
    <xdr:to>
      <xdr:col>14</xdr:col>
      <xdr:colOff>0</xdr:colOff>
      <xdr:row>261</xdr:row>
      <xdr:rowOff>57150</xdr:rowOff>
    </xdr:to>
    <xdr:sp macro="" textlink="">
      <xdr:nvSpPr>
        <xdr:cNvPr id="4253" name="직사각형 4252"/>
        <xdr:cNvSpPr/>
      </xdr:nvSpPr>
      <xdr:spPr>
        <a:xfrm>
          <a:off x="7127874" y="52903436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260</xdr:row>
      <xdr:rowOff>0</xdr:rowOff>
    </xdr:from>
    <xdr:to>
      <xdr:col>14</xdr:col>
      <xdr:colOff>0</xdr:colOff>
      <xdr:row>261</xdr:row>
      <xdr:rowOff>57150</xdr:rowOff>
    </xdr:to>
    <xdr:sp macro="" textlink="">
      <xdr:nvSpPr>
        <xdr:cNvPr id="4254" name="직사각형 4253"/>
        <xdr:cNvSpPr/>
      </xdr:nvSpPr>
      <xdr:spPr>
        <a:xfrm>
          <a:off x="7127874" y="52903436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260</xdr:row>
      <xdr:rowOff>0</xdr:rowOff>
    </xdr:from>
    <xdr:to>
      <xdr:col>14</xdr:col>
      <xdr:colOff>0</xdr:colOff>
      <xdr:row>261</xdr:row>
      <xdr:rowOff>57150</xdr:rowOff>
    </xdr:to>
    <xdr:sp macro="" textlink="">
      <xdr:nvSpPr>
        <xdr:cNvPr id="4255" name="직사각형 4254"/>
        <xdr:cNvSpPr/>
      </xdr:nvSpPr>
      <xdr:spPr>
        <a:xfrm>
          <a:off x="7127874" y="52903436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256" name="직사각형 4255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257" name="직사각형 4256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258" name="직사각형 4257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259" name="직사각형 4258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260" name="직사각형 4259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261" name="직사각형 4260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262" name="직사각형 4261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263" name="직사각형 4262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264" name="직사각형 4263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265" name="직사각형 4264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266" name="직사각형 4265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267" name="직사각형 4266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268" name="직사각형 4267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269" name="직사각형 4268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270" name="직사각형 4269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271" name="직사각형 4270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272" name="직사각형 4271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273" name="직사각형 4272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274" name="직사각형 4273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275" name="직사각형 4274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276" name="직사각형 4275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277" name="직사각형 4276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278" name="직사각형 4277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279" name="직사각형 4278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280" name="직사각형 4279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281" name="직사각형 4280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282" name="직사각형 4281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283" name="직사각형 4282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284" name="직사각형 4283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285" name="직사각형 4284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286" name="직사각형 4285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287" name="직사각형 4286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288" name="직사각형 4287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289" name="직사각형 4288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290" name="직사각형 4289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291" name="직사각형 4290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292" name="직사각형 4291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293" name="직사각형 4292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294" name="직사각형 4293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295" name="직사각형 4294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296" name="직사각형 4295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297" name="직사각형 4296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298" name="직사각형 4297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299" name="직사각형 4298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300" name="직사각형 4299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301" name="직사각형 4300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302" name="직사각형 4301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303" name="직사각형 4302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304" name="직사각형 4303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305" name="직사각형 4304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306" name="직사각형 4305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307" name="직사각형 4306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308" name="직사각형 4307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309" name="직사각형 4308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310" name="직사각형 4309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311" name="직사각형 4310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312" name="직사각형 4311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313" name="직사각형 4312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314" name="직사각형 4313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315" name="직사각형 4314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316" name="직사각형 4315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317" name="직사각형 4316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318" name="직사각형 4317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319" name="직사각형 4318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320" name="직사각형 4319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321" name="직사각형 4320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322" name="직사각형 4321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323" name="직사각형 4322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324" name="직사각형 4323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325" name="직사각형 4324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326" name="직사각형 4325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327" name="직사각형 4326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328" name="직사각형 4327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329" name="직사각형 4328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330" name="직사각형 4329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331" name="직사각형 4330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332" name="직사각형 4331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4333" name="직사각형 4332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152" name="직사각형 5151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153" name="직사각형 5152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154" name="직사각형 5153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155" name="직사각형 5154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156" name="직사각형 5155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157" name="직사각형 5156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158" name="직사각형 5157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159" name="직사각형 5158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160" name="직사각형 5159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161" name="직사각형 5160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162" name="직사각형 5161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163" name="직사각형 5162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164" name="직사각형 5163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165" name="직사각형 5164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166" name="직사각형 5165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167" name="직사각형 5166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168" name="직사각형 5167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169" name="직사각형 5168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239</xdr:row>
      <xdr:rowOff>0</xdr:rowOff>
    </xdr:from>
    <xdr:to>
      <xdr:col>14</xdr:col>
      <xdr:colOff>0</xdr:colOff>
      <xdr:row>240</xdr:row>
      <xdr:rowOff>66675</xdr:rowOff>
    </xdr:to>
    <xdr:sp macro="" textlink="">
      <xdr:nvSpPr>
        <xdr:cNvPr id="5170" name="직사각형 5169"/>
        <xdr:cNvSpPr/>
      </xdr:nvSpPr>
      <xdr:spPr>
        <a:xfrm>
          <a:off x="7127874" y="4868068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239</xdr:row>
      <xdr:rowOff>0</xdr:rowOff>
    </xdr:from>
    <xdr:to>
      <xdr:col>14</xdr:col>
      <xdr:colOff>0</xdr:colOff>
      <xdr:row>240</xdr:row>
      <xdr:rowOff>66675</xdr:rowOff>
    </xdr:to>
    <xdr:sp macro="" textlink="">
      <xdr:nvSpPr>
        <xdr:cNvPr id="5171" name="직사각형 5170"/>
        <xdr:cNvSpPr/>
      </xdr:nvSpPr>
      <xdr:spPr>
        <a:xfrm>
          <a:off x="7127874" y="4868068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239</xdr:row>
      <xdr:rowOff>0</xdr:rowOff>
    </xdr:from>
    <xdr:to>
      <xdr:col>14</xdr:col>
      <xdr:colOff>0</xdr:colOff>
      <xdr:row>240</xdr:row>
      <xdr:rowOff>66675</xdr:rowOff>
    </xdr:to>
    <xdr:sp macro="" textlink="">
      <xdr:nvSpPr>
        <xdr:cNvPr id="5172" name="직사각형 5171"/>
        <xdr:cNvSpPr/>
      </xdr:nvSpPr>
      <xdr:spPr>
        <a:xfrm>
          <a:off x="7127874" y="4868068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239</xdr:row>
      <xdr:rowOff>0</xdr:rowOff>
    </xdr:from>
    <xdr:to>
      <xdr:col>14</xdr:col>
      <xdr:colOff>0</xdr:colOff>
      <xdr:row>240</xdr:row>
      <xdr:rowOff>66675</xdr:rowOff>
    </xdr:to>
    <xdr:sp macro="" textlink="">
      <xdr:nvSpPr>
        <xdr:cNvPr id="5173" name="직사각형 5172"/>
        <xdr:cNvSpPr/>
      </xdr:nvSpPr>
      <xdr:spPr>
        <a:xfrm>
          <a:off x="7127874" y="4868068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239</xdr:row>
      <xdr:rowOff>0</xdr:rowOff>
    </xdr:from>
    <xdr:to>
      <xdr:col>14</xdr:col>
      <xdr:colOff>0</xdr:colOff>
      <xdr:row>240</xdr:row>
      <xdr:rowOff>66675</xdr:rowOff>
    </xdr:to>
    <xdr:sp macro="" textlink="">
      <xdr:nvSpPr>
        <xdr:cNvPr id="5174" name="직사각형 5173"/>
        <xdr:cNvSpPr/>
      </xdr:nvSpPr>
      <xdr:spPr>
        <a:xfrm>
          <a:off x="7127874" y="4868068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239</xdr:row>
      <xdr:rowOff>0</xdr:rowOff>
    </xdr:from>
    <xdr:to>
      <xdr:col>14</xdr:col>
      <xdr:colOff>0</xdr:colOff>
      <xdr:row>240</xdr:row>
      <xdr:rowOff>66675</xdr:rowOff>
    </xdr:to>
    <xdr:sp macro="" textlink="">
      <xdr:nvSpPr>
        <xdr:cNvPr id="5175" name="직사각형 5174"/>
        <xdr:cNvSpPr/>
      </xdr:nvSpPr>
      <xdr:spPr>
        <a:xfrm>
          <a:off x="7127874" y="4868068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239</xdr:row>
      <xdr:rowOff>0</xdr:rowOff>
    </xdr:from>
    <xdr:to>
      <xdr:col>14</xdr:col>
      <xdr:colOff>0</xdr:colOff>
      <xdr:row>240</xdr:row>
      <xdr:rowOff>66675</xdr:rowOff>
    </xdr:to>
    <xdr:sp macro="" textlink="">
      <xdr:nvSpPr>
        <xdr:cNvPr id="5176" name="직사각형 5175"/>
        <xdr:cNvSpPr/>
      </xdr:nvSpPr>
      <xdr:spPr>
        <a:xfrm>
          <a:off x="7127874" y="4868068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239</xdr:row>
      <xdr:rowOff>0</xdr:rowOff>
    </xdr:from>
    <xdr:to>
      <xdr:col>14</xdr:col>
      <xdr:colOff>0</xdr:colOff>
      <xdr:row>240</xdr:row>
      <xdr:rowOff>66675</xdr:rowOff>
    </xdr:to>
    <xdr:sp macro="" textlink="">
      <xdr:nvSpPr>
        <xdr:cNvPr id="5177" name="직사각형 5176"/>
        <xdr:cNvSpPr/>
      </xdr:nvSpPr>
      <xdr:spPr>
        <a:xfrm>
          <a:off x="7127874" y="4868068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261</xdr:row>
      <xdr:rowOff>0</xdr:rowOff>
    </xdr:from>
    <xdr:to>
      <xdr:col>14</xdr:col>
      <xdr:colOff>0</xdr:colOff>
      <xdr:row>262</xdr:row>
      <xdr:rowOff>57150</xdr:rowOff>
    </xdr:to>
    <xdr:sp macro="" textlink="">
      <xdr:nvSpPr>
        <xdr:cNvPr id="5178" name="직사각형 5177"/>
        <xdr:cNvSpPr/>
      </xdr:nvSpPr>
      <xdr:spPr>
        <a:xfrm>
          <a:off x="7127874" y="5310980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261</xdr:row>
      <xdr:rowOff>0</xdr:rowOff>
    </xdr:from>
    <xdr:to>
      <xdr:col>14</xdr:col>
      <xdr:colOff>0</xdr:colOff>
      <xdr:row>262</xdr:row>
      <xdr:rowOff>57150</xdr:rowOff>
    </xdr:to>
    <xdr:sp macro="" textlink="">
      <xdr:nvSpPr>
        <xdr:cNvPr id="5179" name="직사각형 5178"/>
        <xdr:cNvSpPr/>
      </xdr:nvSpPr>
      <xdr:spPr>
        <a:xfrm>
          <a:off x="7127874" y="5310980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261</xdr:row>
      <xdr:rowOff>0</xdr:rowOff>
    </xdr:from>
    <xdr:to>
      <xdr:col>14</xdr:col>
      <xdr:colOff>0</xdr:colOff>
      <xdr:row>262</xdr:row>
      <xdr:rowOff>57150</xdr:rowOff>
    </xdr:to>
    <xdr:sp macro="" textlink="">
      <xdr:nvSpPr>
        <xdr:cNvPr id="5180" name="직사각형 5179"/>
        <xdr:cNvSpPr/>
      </xdr:nvSpPr>
      <xdr:spPr>
        <a:xfrm>
          <a:off x="7127874" y="5310980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261</xdr:row>
      <xdr:rowOff>0</xdr:rowOff>
    </xdr:from>
    <xdr:to>
      <xdr:col>14</xdr:col>
      <xdr:colOff>0</xdr:colOff>
      <xdr:row>262</xdr:row>
      <xdr:rowOff>57150</xdr:rowOff>
    </xdr:to>
    <xdr:sp macro="" textlink="">
      <xdr:nvSpPr>
        <xdr:cNvPr id="5181" name="직사각형 5180"/>
        <xdr:cNvSpPr/>
      </xdr:nvSpPr>
      <xdr:spPr>
        <a:xfrm>
          <a:off x="7127874" y="5310980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261</xdr:row>
      <xdr:rowOff>0</xdr:rowOff>
    </xdr:from>
    <xdr:to>
      <xdr:col>14</xdr:col>
      <xdr:colOff>0</xdr:colOff>
      <xdr:row>262</xdr:row>
      <xdr:rowOff>57150</xdr:rowOff>
    </xdr:to>
    <xdr:sp macro="" textlink="">
      <xdr:nvSpPr>
        <xdr:cNvPr id="5182" name="직사각형 5181"/>
        <xdr:cNvSpPr/>
      </xdr:nvSpPr>
      <xdr:spPr>
        <a:xfrm>
          <a:off x="7127874" y="5310980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261</xdr:row>
      <xdr:rowOff>0</xdr:rowOff>
    </xdr:from>
    <xdr:to>
      <xdr:col>14</xdr:col>
      <xdr:colOff>0</xdr:colOff>
      <xdr:row>262</xdr:row>
      <xdr:rowOff>57150</xdr:rowOff>
    </xdr:to>
    <xdr:sp macro="" textlink="">
      <xdr:nvSpPr>
        <xdr:cNvPr id="5183" name="직사각형 5182"/>
        <xdr:cNvSpPr/>
      </xdr:nvSpPr>
      <xdr:spPr>
        <a:xfrm>
          <a:off x="7127874" y="5310980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261</xdr:row>
      <xdr:rowOff>0</xdr:rowOff>
    </xdr:from>
    <xdr:to>
      <xdr:col>14</xdr:col>
      <xdr:colOff>0</xdr:colOff>
      <xdr:row>262</xdr:row>
      <xdr:rowOff>57150</xdr:rowOff>
    </xdr:to>
    <xdr:sp macro="" textlink="">
      <xdr:nvSpPr>
        <xdr:cNvPr id="5184" name="직사각형 5183"/>
        <xdr:cNvSpPr/>
      </xdr:nvSpPr>
      <xdr:spPr>
        <a:xfrm>
          <a:off x="7127874" y="5310980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261</xdr:row>
      <xdr:rowOff>0</xdr:rowOff>
    </xdr:from>
    <xdr:to>
      <xdr:col>14</xdr:col>
      <xdr:colOff>0</xdr:colOff>
      <xdr:row>262</xdr:row>
      <xdr:rowOff>57150</xdr:rowOff>
    </xdr:to>
    <xdr:sp macro="" textlink="">
      <xdr:nvSpPr>
        <xdr:cNvPr id="5185" name="직사각형 5184"/>
        <xdr:cNvSpPr/>
      </xdr:nvSpPr>
      <xdr:spPr>
        <a:xfrm>
          <a:off x="7127874" y="5310980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186" name="직사각형 5185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187" name="직사각형 5186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188" name="직사각형 5187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189" name="직사각형 5188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190" name="직사각형 5189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191" name="직사각형 5190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192" name="직사각형 5191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193" name="직사각형 5192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194" name="직사각형 5193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195" name="직사각형 5194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196" name="직사각형 5195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197" name="직사각형 5196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198" name="직사각형 5197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199" name="직사각형 5198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00" name="직사각형 5199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01" name="직사각형 5200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02" name="직사각형 5201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03" name="직사각형 5202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04" name="직사각형 5203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05" name="직사각형 5204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06" name="직사각형 5205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07" name="직사각형 5206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08" name="직사각형 5207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09" name="직사각형 5208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10" name="직사각형 5209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11" name="직사각형 5210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12" name="직사각형 5211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13" name="직사각형 5212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14" name="직사각형 5213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15" name="직사각형 5214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16" name="직사각형 5215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17" name="직사각형 5216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18" name="직사각형 5217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19" name="직사각형 5218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20" name="직사각형 5219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21" name="직사각형 5220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22" name="직사각형 5221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23" name="직사각형 5222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24" name="직사각형 5223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25" name="직사각형 5224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26" name="직사각형 5225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27" name="직사각형 5226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28" name="직사각형 5227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29" name="직사각형 5228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30" name="직사각형 5229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31" name="직사각형 5230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32" name="직사각형 5231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33" name="직사각형 5232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34" name="직사각형 5233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35" name="직사각형 5234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36" name="직사각형 5235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37" name="직사각형 5236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38" name="직사각형 5237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39" name="직사각형 5238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40" name="직사각형 5239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41" name="직사각형 5240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42" name="직사각형 5241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43" name="직사각형 5242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44" name="직사각형 5243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45" name="직사각형 5244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46" name="직사각형 5245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47" name="직사각형 5246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48" name="직사각형 5247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49" name="직사각형 5248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50" name="직사각형 5249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51" name="직사각형 5250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52" name="직사각형 5251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53" name="직사각형 5252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54" name="직사각형 5253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55" name="직사각형 5254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56" name="직사각형 5255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57" name="직사각형 5256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58" name="직사각형 5257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59" name="직사각형 5258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60" name="직사각형 5259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61" name="직사각형 5260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62" name="직사각형 5261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63" name="직사각형 5262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64" name="직사각형 5263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65" name="직사각형 5264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66" name="직사각형 5265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67" name="직사각형 5266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68" name="직사각형 5267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69" name="직사각형 5268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70" name="직사각형 5269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71" name="직사각형 5270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72" name="직사각형 5271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73" name="직사각형 5272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74" name="직사각형 5273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75" name="직사각형 5274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76" name="직사각형 5275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77" name="직사각형 5276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78" name="직사각형 5277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79" name="직사각형 5278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80" name="직사각형 5279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288</xdr:row>
      <xdr:rowOff>0</xdr:rowOff>
    </xdr:from>
    <xdr:to>
      <xdr:col>14</xdr:col>
      <xdr:colOff>0</xdr:colOff>
      <xdr:row>289</xdr:row>
      <xdr:rowOff>57150</xdr:rowOff>
    </xdr:to>
    <xdr:sp macro="" textlink="">
      <xdr:nvSpPr>
        <xdr:cNvPr id="5281" name="직사각형 5280"/>
        <xdr:cNvSpPr/>
      </xdr:nvSpPr>
      <xdr:spPr>
        <a:xfrm>
          <a:off x="7127874" y="58594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282" name="직사각형 5281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283" name="직사각형 5282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284" name="직사각형 5283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285" name="직사각형 5284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286" name="직사각형 5285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287" name="직사각형 5286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288" name="직사각형 5287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289" name="직사각형 5288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290" name="직사각형 5289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291" name="직사각형 5290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292" name="직사각형 5291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293" name="직사각형 5292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294" name="직사각형 5293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295" name="직사각형 5294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296" name="직사각형 5295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297" name="직사각형 5296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298" name="직사각형 5297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299" name="직사각형 5298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00" name="직사각형 5299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01" name="직사각형 5300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02" name="직사각형 5301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03" name="직사각형 5302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04" name="직사각형 5303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05" name="직사각형 5304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06" name="직사각형 5305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07" name="직사각형 5306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08" name="직사각형 5307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09" name="직사각형 5308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10" name="직사각형 5309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11" name="직사각형 5310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12" name="직사각형 5311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13" name="직사각형 5312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14" name="직사각형 5313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15" name="직사각형 5314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16" name="직사각형 5315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17" name="직사각형 5316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18" name="직사각형 5317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19" name="직사각형 5318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20" name="직사각형 5319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21" name="직사각형 5320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22" name="직사각형 5321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23" name="직사각형 5322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24" name="직사각형 5323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25" name="직사각형 5324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26" name="직사각형 5325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27" name="직사각형 5326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28" name="직사각형 5327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29" name="직사각형 5328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30" name="직사각형 5329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31" name="직사각형 5330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32" name="직사각형 5331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33" name="직사각형 5332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34" name="직사각형 5333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35" name="직사각형 5334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36" name="직사각형 5335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37" name="직사각형 5336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38" name="직사각형 5337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39" name="직사각형 5338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40" name="직사각형 5339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41" name="직사각형 5340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42" name="직사각형 5341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43" name="직사각형 5342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44" name="직사각형 5343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45" name="직사각형 5344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46" name="직사각형 5345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47" name="직사각형 5346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48" name="직사각형 5347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49" name="직사각형 5348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50" name="직사각형 5349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51" name="직사각형 5350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52" name="직사각형 5351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53" name="직사각형 5352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54" name="직사각형 5353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55" name="직사각형 5354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56" name="직사각형 5355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57" name="직사각형 5356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58" name="직사각형 5357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59" name="직사각형 5358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60" name="직사각형 5359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61" name="직사각형 5360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62" name="직사각형 5361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63" name="직사각형 5362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64" name="직사각형 5363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65" name="직사각형 5364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66" name="직사각형 5365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67" name="직사각형 5366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68" name="직사각형 5367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69" name="직사각형 5368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70" name="직사각형 5369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71" name="직사각형 5370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72" name="직사각형 5371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73" name="직사각형 5372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74" name="직사각형 5373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75" name="직사각형 5374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76" name="직사각형 5375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298</xdr:row>
      <xdr:rowOff>0</xdr:rowOff>
    </xdr:from>
    <xdr:to>
      <xdr:col>14</xdr:col>
      <xdr:colOff>0</xdr:colOff>
      <xdr:row>299</xdr:row>
      <xdr:rowOff>57150</xdr:rowOff>
    </xdr:to>
    <xdr:sp macro="" textlink="">
      <xdr:nvSpPr>
        <xdr:cNvPr id="5377" name="직사각형 5376"/>
        <xdr:cNvSpPr/>
      </xdr:nvSpPr>
      <xdr:spPr>
        <a:xfrm>
          <a:off x="7127874" y="604678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378" name="직사각형 537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379" name="직사각형 537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380" name="직사각형 537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381" name="직사각형 538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382" name="직사각형 538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383" name="직사각형 538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384" name="직사각형 538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385" name="직사각형 538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386" name="직사각형 538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387" name="직사각형 538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388" name="직사각형 538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389" name="직사각형 538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390" name="직사각형 538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391" name="직사각형 539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392" name="직사각형 539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393" name="직사각형 539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394" name="직사각형 539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395" name="직사각형 539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396" name="직사각형 539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397" name="직사각형 539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398" name="직사각형 539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399" name="직사각형 539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00" name="직사각형 539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01" name="직사각형 540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02" name="직사각형 540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03" name="직사각형 540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04" name="직사각형 540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05" name="직사각형 540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06" name="직사각형 540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07" name="직사각형 540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3524" name="직사각형 352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3525" name="직사각형 352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3526" name="직사각형 352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3527" name="직사각형 352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3528" name="직사각형 352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3529" name="직사각형 352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3530" name="직사각형 352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3531" name="직사각형 353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3532" name="직사각형 353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3533" name="직사각형 353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3534" name="직사각형 353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3535" name="직사각형 353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3536" name="직사각형 353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3537" name="직사각형 353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3538" name="직사각형 353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3539" name="직사각형 353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3540" name="직사각형 353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3541" name="직사각형 354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3542" name="직사각형 354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3543" name="직사각형 354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3544" name="직사각형 354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3545" name="직사각형 354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3546" name="직사각형 354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3547" name="직사각형 354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3548" name="직사각형 354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3549" name="직사각형 354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3550" name="직사각형 354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3551" name="직사각형 355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4224" name="직사각형 422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4225" name="직사각형 422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08" name="직사각형 540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09" name="직사각형 540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10" name="직사각형 540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11" name="직사각형 541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12" name="직사각형 541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13" name="직사각형 541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14" name="직사각형 541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15" name="직사각형 541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16" name="직사각형 541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17" name="직사각형 541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18" name="직사각형 541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19" name="직사각형 541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20" name="직사각형 541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21" name="직사각형 542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22" name="직사각형 542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23" name="직사각형 542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24" name="직사각형 542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25" name="직사각형 542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26" name="직사각형 542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27" name="직사각형 542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28" name="직사각형 542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29" name="직사각형 542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30" name="직사각형 542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31" name="직사각형 543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32" name="직사각형 543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33" name="직사각형 543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34" name="직사각형 543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35" name="직사각형 543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36" name="직사각형 543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37" name="직사각형 543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38" name="직사각형 543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39" name="직사각형 543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40" name="직사각형 543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41" name="직사각형 544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42" name="직사각형 544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43" name="직사각형 544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44" name="직사각형 544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45" name="직사각형 544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46" name="직사각형 544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47" name="직사각형 544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48" name="직사각형 544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49" name="직사각형 544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50" name="직사각형 544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51" name="직사각형 545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52" name="직사각형 545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53" name="직사각형 545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54" name="직사각형 545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55" name="직사각형 545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56" name="직사각형 545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57" name="직사각형 545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58" name="직사각형 545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59" name="직사각형 545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60" name="직사각형 545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61" name="직사각형 546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62" name="직사각형 546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63" name="직사각형 546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64" name="직사각형 546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65" name="직사각형 546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66" name="직사각형 546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67" name="직사각형 546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68" name="직사각형 546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69" name="직사각형 546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70" name="직사각형 546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71" name="직사각형 547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72" name="직사각형 547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73" name="직사각형 547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74" name="직사각형 547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75" name="직사각형 547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76" name="직사각형 547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77" name="직사각형 547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78" name="직사각형 547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79" name="직사각형 547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80" name="직사각형 547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81" name="직사각형 548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82" name="직사각형 548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83" name="직사각형 548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84" name="직사각형 548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85" name="직사각형 548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86" name="직사각형 548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87" name="직사각형 548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88" name="직사각형 548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89" name="직사각형 548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90" name="직사각형 548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91" name="직사각형 549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92" name="직사각형 549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93" name="직사각형 549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94" name="직사각형 549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95" name="직사각형 549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96" name="직사각형 549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97" name="직사각형 549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98" name="직사각형 549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499" name="직사각형 549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500" name="직사각형 549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501" name="직사각형 550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502" name="직사각형 550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503" name="직사각형 550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504" name="직사각형 550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505" name="직사각형 550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506" name="직사각형 550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507" name="직사각형 550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508" name="직사각형 550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509" name="직사각형 550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510" name="직사각형 550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511" name="직사각형 551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512" name="직사각형 551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513" name="직사각형 551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514" name="직사각형 551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5515" name="직사각형 551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16" name="직사각형 551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17" name="직사각형 551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18" name="직사각형 551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19" name="직사각형 551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20" name="직사각형 551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21" name="직사각형 552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22" name="직사각형 552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23" name="직사각형 552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24" name="직사각형 552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25" name="직사각형 552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26" name="직사각형 552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27" name="직사각형 552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28" name="직사각형 552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29" name="직사각형 552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30" name="직사각형 552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31" name="직사각형 553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32" name="직사각형 553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33" name="직사각형 553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34" name="직사각형 553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35" name="직사각형 553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36" name="직사각형 553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37" name="직사각형 553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38" name="직사각형 553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39" name="직사각형 553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40" name="직사각형 553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41" name="직사각형 554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42" name="직사각형 554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43" name="직사각형 554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44" name="직사각형 554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45" name="직사각형 554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46" name="직사각형 554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47" name="직사각형 554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48" name="직사각형 554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49" name="직사각형 554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50" name="직사각형 554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51" name="직사각형 555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52" name="직사각형 555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53" name="직사각형 555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54" name="직사각형 555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55" name="직사각형 555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56" name="직사각형 555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57" name="직사각형 555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58" name="직사각형 555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59" name="직사각형 555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60" name="직사각형 555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61" name="직사각형 556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62" name="직사각형 556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63" name="직사각형 556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64" name="직사각형 556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65" name="직사각형 556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66" name="직사각형 556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67" name="직사각형 556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68" name="직사각형 556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69" name="직사각형 556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70" name="직사각형 556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71" name="직사각형 557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72" name="직사각형 557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73" name="직사각형 557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74" name="직사각형 557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75" name="직사각형 557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76" name="직사각형 557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77" name="직사각형 557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78" name="직사각형 557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79" name="직사각형 557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80" name="직사각형 557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81" name="직사각형 558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82" name="직사각형 558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83" name="직사각형 558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84" name="직사각형 558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85" name="직사각형 558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86" name="직사각형 558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87" name="직사각형 558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88" name="직사각형 558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89" name="직사각형 558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90" name="직사각형 558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91" name="직사각형 559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92" name="직사각형 559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93" name="직사각형 559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94" name="직사각형 559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95" name="직사각형 559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96" name="직사각형 559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97" name="직사각형 559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98" name="직사각형 559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599" name="직사각형 559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00" name="직사각형 559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01" name="직사각형 560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02" name="직사각형 560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03" name="직사각형 560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04" name="직사각형 560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05" name="직사각형 560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06" name="직사각형 560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07" name="직사각형 560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08" name="직사각형 560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09" name="직사각형 560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10" name="직사각형 560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11" name="직사각형 561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12" name="직사각형 561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13" name="직사각형 561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14" name="직사각형 561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15" name="직사각형 561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16" name="직사각형 561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17" name="직사각형 561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18" name="직사각형 561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19" name="직사각형 561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20" name="직사각형 561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21" name="직사각형 562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22" name="직사각형 562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23" name="직사각형 562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24" name="직사각형 562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25" name="직사각형 562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26" name="직사각형 562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27" name="직사각형 562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28" name="직사각형 562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29" name="직사각형 562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30" name="직사각형 562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31" name="직사각형 563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32" name="직사각형 563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33" name="직사각형 563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34" name="직사각형 563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35" name="직사각형 563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36" name="직사각형 563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37" name="직사각형 563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38" name="직사각형 563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39" name="직사각형 563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40" name="직사각형 563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41" name="직사각형 564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42" name="직사각형 564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43" name="직사각형 564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44" name="직사각형 564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45" name="직사각형 564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46" name="직사각형 564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47" name="직사각형 564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48" name="직사각형 564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49" name="직사각형 564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50" name="직사각형 564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51" name="직사각형 565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52" name="직사각형 565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53" name="직사각형 565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54" name="직사각형 565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55" name="직사각형 565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56" name="직사각형 565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57" name="직사각형 565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58" name="직사각형 565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59" name="직사각형 565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60" name="직사각형 565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61" name="직사각형 566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62" name="직사각형 566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63" name="직사각형 566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64" name="직사각형 566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65" name="직사각형 566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66" name="직사각형 566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67" name="직사각형 566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68" name="직사각형 566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69" name="직사각형 566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70" name="직사각형 566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71" name="직사각형 567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72" name="직사각형 567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73" name="직사각형 567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74" name="직사각형 567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75" name="직사각형 567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76" name="직사각형 567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77" name="직사각형 567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78" name="직사각형 567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79" name="직사각형 567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80" name="직사각형 567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81" name="직사각형 568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82" name="직사각형 568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83" name="직사각형 568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84" name="직사각형 5683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85" name="직사각형 5684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86" name="직사각형 5685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87" name="직사각형 5686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88" name="직사각형 5687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89" name="직사각형 5688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90" name="직사각형 5689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91" name="직사각형 5690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92" name="직사각형 5691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93" name="직사각형 5692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94" name="직사각형 5693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95" name="직사각형 5694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96" name="직사각형 5695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97" name="직사각형 5696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98" name="직사각형 5697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699" name="직사각형 5698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00" name="직사각형 5699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01" name="직사각형 5700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02" name="직사각형 5701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03" name="직사각형 5702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04" name="직사각형 5703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05" name="직사각형 5704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06" name="직사각형 5705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07" name="직사각형 5706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08" name="직사각형 5707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09" name="직사각형 5708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10" name="직사각형 5709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11" name="직사각형 5710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12" name="직사각형 5711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13" name="직사각형 5712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14" name="직사각형 5713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15" name="직사각형 5714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16" name="직사각형 5715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17" name="직사각형 5716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18" name="직사각형 5717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19" name="직사각형 5718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20" name="직사각형 5719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21" name="직사각형 5720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22" name="직사각형 5721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23" name="직사각형 5722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24" name="직사각형 5723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25" name="직사각형 5724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26" name="직사각형 5725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27" name="직사각형 5726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28" name="직사각형 5727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29" name="직사각형 5728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30" name="직사각형 5729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31" name="직사각형 5730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32" name="직사각형 5731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33" name="직사각형 5732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34" name="직사각형 5733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35" name="직사각형 5734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36" name="직사각형 5735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37" name="직사각형 5736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38" name="직사각형 5737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39" name="직사각형 5738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40" name="직사각형 5739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41" name="직사각형 5740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42" name="직사각형 5741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28575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43" name="직사각형 5742"/>
        <xdr:cNvSpPr/>
      </xdr:nvSpPr>
      <xdr:spPr>
        <a:xfrm>
          <a:off x="7151687" y="69135624"/>
          <a:ext cx="888999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44" name="직사각형 574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45" name="직사각형 574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46" name="직사각형 574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47" name="직사각형 574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48" name="직사각형 574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49" name="직사각형 574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50" name="직사각형 574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51" name="직사각형 575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52" name="직사각형 575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53" name="직사각형 575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54" name="직사각형 575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55" name="직사각형 575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56" name="직사각형 575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57" name="직사각형 575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58" name="직사각형 575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59" name="직사각형 575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60" name="직사각형 575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61" name="직사각형 576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62" name="직사각형 576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63" name="직사각형 576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64" name="직사각형 576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65" name="직사각형 576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66" name="직사각형 576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67" name="직사각형 576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68" name="직사각형 576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69" name="직사각형 576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70" name="직사각형 576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71" name="직사각형 577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72" name="직사각형 577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73" name="직사각형 577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74" name="직사각형 577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75" name="직사각형 577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76" name="직사각형 577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77" name="직사각형 577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78" name="직사각형 577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79" name="직사각형 577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80" name="직사각형 577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81" name="직사각형 578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82" name="직사각형 578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83" name="직사각형 578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84" name="직사각형 578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85" name="직사각형 578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86" name="직사각형 578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87" name="직사각형 578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88" name="직사각형 578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89" name="직사각형 578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90" name="직사각형 578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91" name="직사각형 579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92" name="직사각형 579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93" name="직사각형 579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94" name="직사각형 579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95" name="직사각형 579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96" name="직사각형 579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97" name="직사각형 579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98" name="직사각형 579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799" name="직사각형 579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00" name="직사각형 579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01" name="직사각형 580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02" name="직사각형 580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03" name="직사각형 580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04" name="직사각형 580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05" name="직사각형 580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06" name="직사각형 580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07" name="직사각형 580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08" name="직사각형 580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09" name="직사각형 580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10" name="직사각형 580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11" name="직사각형 581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12" name="직사각형 581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13" name="직사각형 581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14" name="직사각형 581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15" name="직사각형 581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16" name="직사각형 581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17" name="직사각형 581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18" name="직사각형 581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19" name="직사각형 581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20" name="직사각형 581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21" name="직사각형 582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22" name="직사각형 582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23" name="직사각형 582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24" name="직사각형 582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25" name="직사각형 582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26" name="직사각형 582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27" name="직사각형 582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28" name="직사각형 582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29" name="직사각형 582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30" name="직사각형 582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31" name="직사각형 583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32" name="직사각형 583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33" name="직사각형 583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34" name="직사각형 583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35" name="직사각형 583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36" name="직사각형 583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37" name="직사각형 583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38" name="직사각형 583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39" name="직사각형 583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40" name="직사각형 583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41" name="직사각형 584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42" name="직사각형 584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43" name="직사각형 584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44" name="직사각형 584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45" name="직사각형 584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46" name="직사각형 584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47" name="직사각형 584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48" name="직사각형 584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49" name="직사각형 584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50" name="직사각형 584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51" name="직사각형 585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52" name="직사각형 585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53" name="직사각형 585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54" name="직사각형 585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55" name="직사각형 585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56" name="직사각형 585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57" name="직사각형 585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58" name="직사각형 585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59" name="직사각형 585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60" name="직사각형 585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61" name="직사각형 586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62" name="직사각형 586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63" name="직사각형 586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64" name="직사각형 586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65" name="직사각형 586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66" name="직사각형 586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67" name="직사각형 586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68" name="직사각형 586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69" name="직사각형 586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70" name="직사각형 586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71" name="직사각형 587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72" name="직사각형 587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73" name="직사각형 587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74" name="직사각형 587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75" name="직사각형 587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76" name="직사각형 587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77" name="직사각형 587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78" name="직사각형 587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79" name="직사각형 587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80" name="직사각형 587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81" name="직사각형 588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82" name="직사각형 588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83" name="직사각형 588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84" name="직사각형 588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85" name="직사각형 588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86" name="직사각형 588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87" name="직사각형 588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88" name="직사각형 588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89" name="직사각형 588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90" name="직사각형 588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91" name="직사각형 589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92" name="직사각형 589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93" name="직사각형 589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94" name="직사각형 589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95" name="직사각형 589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96" name="직사각형 589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97" name="직사각형 589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98" name="직사각형 589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899" name="직사각형 589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00" name="직사각형 589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01" name="직사각형 590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02" name="직사각형 590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03" name="직사각형 590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04" name="직사각형 590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05" name="직사각형 590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06" name="직사각형 590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07" name="직사각형 590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08" name="직사각형 590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09" name="직사각형 590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10" name="직사각형 590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11" name="직사각형 591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12" name="직사각형 591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13" name="직사각형 591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14" name="직사각형 591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15" name="직사각형 591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16" name="직사각형 591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17" name="직사각형 591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18" name="직사각형 591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19" name="직사각형 591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20" name="직사각형 591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21" name="직사각형 592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22" name="직사각형 592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23" name="직사각형 592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24" name="직사각형 592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25" name="직사각형 592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26" name="직사각형 592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27" name="직사각형 592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28" name="직사각형 592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29" name="직사각형 592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30" name="직사각형 592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31" name="직사각형 593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32" name="직사각형 593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33" name="직사각형 593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34" name="직사각형 593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35" name="직사각형 593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36" name="직사각형 593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37" name="직사각형 593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38" name="직사각형 593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39" name="직사각형 593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40" name="직사각형 593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41" name="직사각형 594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42" name="직사각형 594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43" name="직사각형 594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44" name="직사각형 594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45" name="직사각형 594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46" name="직사각형 594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47" name="직사각형 594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48" name="직사각형 594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49" name="직사각형 594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50" name="직사각형 594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51" name="직사각형 595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52" name="직사각형 595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53" name="직사각형 595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54" name="직사각형 595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55" name="직사각형 595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56" name="직사각형 595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57" name="직사각형 595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58" name="직사각형 595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59" name="직사각형 595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60" name="직사각형 595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61" name="직사각형 596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62" name="직사각형 596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63" name="직사각형 596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64" name="직사각형 596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65" name="직사각형 596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66" name="직사각형 596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67" name="직사각형 596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68" name="직사각형 596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69" name="직사각형 596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70" name="직사각형 596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71" name="직사각형 597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72" name="직사각형 597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73" name="직사각형 597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74" name="직사각형 597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75" name="직사각형 597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76" name="직사각형 597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77" name="직사각형 597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78" name="직사각형 597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79" name="직사각형 597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80" name="직사각형 597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81" name="직사각형 598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82" name="직사각형 598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83" name="직사각형 598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84" name="직사각형 598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85" name="직사각형 598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86" name="직사각형 598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87" name="직사각형 598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88" name="직사각형 598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89" name="직사각형 598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90" name="직사각형 598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91" name="직사각형 599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92" name="직사각형 599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93" name="직사각형 599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94" name="직사각형 599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95" name="직사각형 599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96" name="직사각형 599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97" name="직사각형 599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98" name="직사각형 599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5999" name="직사각형 599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00" name="직사각형 599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01" name="직사각형 600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02" name="직사각형 600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03" name="직사각형 600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04" name="직사각형 600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05" name="직사각형 600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06" name="직사각형 600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07" name="직사각형 600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08" name="직사각형 600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09" name="직사각형 600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10" name="직사각형 600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11" name="직사각형 601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12" name="직사각형 601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13" name="직사각형 601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14" name="직사각형 601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15" name="직사각형 601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16" name="직사각형 601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17" name="직사각형 601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18" name="직사각형 601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19" name="직사각형 601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20" name="직사각형 601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21" name="직사각형 602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22" name="직사각형 602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23" name="직사각형 602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24" name="직사각형 602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25" name="직사각형 602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26" name="직사각형 602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27" name="직사각형 602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28" name="직사각형 602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29" name="직사각형 602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30" name="직사각형 602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31" name="직사각형 603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32" name="직사각형 603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33" name="직사각형 603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34" name="직사각형 603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35" name="직사각형 603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36" name="직사각형 603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37" name="직사각형 603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38" name="직사각형 603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39" name="직사각형 603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40" name="직사각형 603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41" name="직사각형 604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42" name="직사각형 604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43" name="직사각형 604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44" name="직사각형 604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45" name="직사각형 604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46" name="직사각형 604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47" name="직사각형 604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48" name="직사각형 604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49" name="직사각형 604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50" name="직사각형 604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51" name="직사각형 605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52" name="직사각형 605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53" name="직사각형 605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54" name="직사각형 605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55" name="직사각형 605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56" name="직사각형 605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57" name="직사각형 605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58" name="직사각형 605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59" name="직사각형 605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60" name="직사각형 605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61" name="직사각형 606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62" name="직사각형 606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63" name="직사각형 606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64" name="직사각형 6063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65" name="직사각형 6064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66" name="직사각형 6065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67" name="직사각형 6066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68" name="직사각형 6067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69" name="직사각형 6068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70" name="직사각형 6069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71" name="직사각형 6070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72" name="직사각형 6071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340</xdr:row>
      <xdr:rowOff>0</xdr:rowOff>
    </xdr:from>
    <xdr:to>
      <xdr:col>14</xdr:col>
      <xdr:colOff>0</xdr:colOff>
      <xdr:row>341</xdr:row>
      <xdr:rowOff>114300</xdr:rowOff>
    </xdr:to>
    <xdr:sp macro="" textlink="">
      <xdr:nvSpPr>
        <xdr:cNvPr id="6073" name="직사각형 6072"/>
        <xdr:cNvSpPr/>
      </xdr:nvSpPr>
      <xdr:spPr>
        <a:xfrm>
          <a:off x="7127874" y="69135624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074" name="직사각형 607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075" name="직사각형 607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076" name="직사각형 607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077" name="직사각형 607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078" name="직사각형 607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079" name="직사각형 607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080" name="직사각형 607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081" name="직사각형 608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082" name="직사각형 608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083" name="직사각형 608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084" name="직사각형 608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085" name="직사각형 608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086" name="직사각형 608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087" name="직사각형 608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088" name="직사각형 608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089" name="직사각형 608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090" name="직사각형 608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091" name="직사각형 609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092" name="직사각형 609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093" name="직사각형 609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094" name="직사각형 609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095" name="직사각형 609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096" name="직사각형 609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097" name="직사각형 609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098" name="직사각형 609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099" name="직사각형 609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00" name="직사각형 609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01" name="직사각형 610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02" name="직사각형 610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03" name="직사각형 610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04" name="직사각형 610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05" name="직사각형 610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06" name="직사각형 610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07" name="직사각형 610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08" name="직사각형 610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09" name="직사각형 610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10" name="직사각형 610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11" name="직사각형 611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12" name="직사각형 611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13" name="직사각형 611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14" name="직사각형 611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15" name="직사각형 611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16" name="직사각형 611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17" name="직사각형 611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18" name="직사각형 611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19" name="직사각형 611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20" name="직사각형 611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21" name="직사각형 612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22" name="직사각형 612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23" name="직사각형 612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24" name="직사각형 612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25" name="직사각형 612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26" name="직사각형 612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27" name="직사각형 612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28" name="직사각형 612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29" name="직사각형 612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30" name="직사각형 612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31" name="직사각형 613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32" name="직사각형 613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33" name="직사각형 613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34" name="직사각형 613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35" name="직사각형 613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36" name="직사각형 613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37" name="직사각형 613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38" name="직사각형 613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39" name="직사각형 613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40" name="직사각형 613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41" name="직사각형 614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42" name="직사각형 614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43" name="직사각형 614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44" name="직사각형 614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45" name="직사각형 614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46" name="직사각형 614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47" name="직사각형 614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48" name="직사각형 614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49" name="직사각형 614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50" name="직사각형 614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51" name="직사각형 615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52" name="직사각형 615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53" name="직사각형 615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54" name="직사각형 615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55" name="직사각형 615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56" name="직사각형 615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57" name="직사각형 615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58" name="직사각형 615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59" name="직사각형 615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60" name="직사각형 615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61" name="직사각형 616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62" name="직사각형 616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63" name="직사각형 616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64" name="직사각형 616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65" name="직사각형 616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66" name="직사각형 616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67" name="직사각형 616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68" name="직사각형 616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69" name="직사각형 616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70" name="직사각형 616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71" name="직사각형 617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72" name="직사각형 617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73" name="직사각형 617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74" name="직사각형 617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75" name="직사각형 617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76" name="직사각형 617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77" name="직사각형 617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78" name="직사각형 617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79" name="직사각형 617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80" name="직사각형 617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81" name="직사각형 618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82" name="직사각형 618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83" name="직사각형 618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84" name="직사각형 618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85" name="직사각형 618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86" name="직사각형 618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87" name="직사각형 618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88" name="직사각형 618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89" name="직사각형 618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90" name="직사각형 618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91" name="직사각형 619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92" name="직사각형 619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93" name="직사각형 619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94" name="직사각형 619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95" name="직사각형 619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96" name="직사각형 619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97" name="직사각형 619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98" name="직사각형 619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199" name="직사각형 619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00" name="직사각형 619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01" name="직사각형 620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02" name="직사각형 620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03" name="직사각형 620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04" name="직사각형 620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05" name="직사각형 620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06" name="직사각형 620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07" name="직사각형 620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08" name="직사각형 620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09" name="직사각형 620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10" name="직사각형 620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11" name="직사각형 621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12" name="직사각형 621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13" name="직사각형 621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14" name="직사각형 621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15" name="직사각형 621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16" name="직사각형 621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17" name="직사각형 621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18" name="직사각형 621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19" name="직사각형 621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20" name="직사각형 621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21" name="직사각형 622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22" name="직사각형 622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23" name="직사각형 622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24" name="직사각형 622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25" name="직사각형 622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26" name="직사각형 622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27" name="직사각형 622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28" name="직사각형 622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29" name="직사각형 622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30" name="직사각형 622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31" name="직사각형 623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32" name="직사각형 623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33" name="직사각형 623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34" name="직사각형 623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35" name="직사각형 623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36" name="직사각형 623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37" name="직사각형 623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38" name="직사각형 623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39" name="직사각형 623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40" name="직사각형 623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41" name="직사각형 624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42" name="직사각형 624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43" name="직사각형 624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44" name="직사각형 624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45" name="직사각형 624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46" name="직사각형 624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47" name="직사각형 624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48" name="직사각형 624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49" name="직사각형 624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50" name="직사각형 624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51" name="직사각형 625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52" name="직사각형 625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53" name="직사각형 625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54" name="직사각형 625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55" name="직사각형 625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56" name="직사각형 625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57" name="직사각형 625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58" name="직사각형 625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59" name="직사각형 625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60" name="직사각형 625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61" name="직사각형 626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62" name="직사각형 626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63" name="직사각형 626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64" name="직사각형 626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65" name="직사각형 626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66" name="직사각형 626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67" name="직사각형 626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68" name="직사각형 626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69" name="직사각형 626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70" name="직사각형 626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71" name="직사각형 627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72" name="직사각형 627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73" name="직사각형 627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74" name="직사각형 627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75" name="직사각형 627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76" name="직사각형 627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77" name="직사각형 627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78" name="직사각형 627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79" name="직사각형 627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80" name="직사각형 627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81" name="직사각형 628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82" name="직사각형 628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83" name="직사각형 628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84" name="직사각형 628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85" name="직사각형 628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86" name="직사각형 628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87" name="직사각형 628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88" name="직사각형 628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89" name="직사각형 628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90" name="직사각형 628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91" name="직사각형 629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92" name="직사각형 629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93" name="직사각형 629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94" name="직사각형 629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95" name="직사각형 629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96" name="직사각형 629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97" name="직사각형 629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98" name="직사각형 629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299" name="직사각형 629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00" name="직사각형 629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01" name="직사각형 630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02" name="직사각형 630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03" name="직사각형 630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04" name="직사각형 630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05" name="직사각형 630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06" name="직사각형 630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07" name="직사각형 630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08" name="직사각형 630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09" name="직사각형 630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10" name="직사각형 630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11" name="직사각형 631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12" name="직사각형 631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13" name="직사각형 631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14" name="직사각형 631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15" name="직사각형 631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16" name="직사각형 631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17" name="직사각형 631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18" name="직사각형 631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19" name="직사각형 631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20" name="직사각형 631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21" name="직사각형 632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22" name="직사각형 632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23" name="직사각형 632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24" name="직사각형 632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25" name="직사각형 632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26" name="직사각형 632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27" name="직사각형 632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28" name="직사각형 632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29" name="직사각형 632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30" name="직사각형 632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31" name="직사각형 633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32" name="직사각형 633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33" name="직사각형 633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34" name="직사각형 633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35" name="직사각형 633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36" name="직사각형 633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37" name="직사각형 633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38" name="직사각형 633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39" name="직사각형 633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40" name="직사각형 633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41" name="직사각형 634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42" name="직사각형 634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43" name="직사각형 634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44" name="직사각형 634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45" name="직사각형 634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46" name="직사각형 634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47" name="직사각형 634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48" name="직사각형 634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49" name="직사각형 634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50" name="직사각형 634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51" name="직사각형 635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52" name="직사각형 635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53" name="직사각형 635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54" name="직사각형 635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55" name="직사각형 635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56" name="직사각형 635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57" name="직사각형 635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58" name="직사각형 635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59" name="직사각형 635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60" name="직사각형 635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61" name="직사각형 636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62" name="직사각형 636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63" name="직사각형 636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64" name="직사각형 636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65" name="직사각형 636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66" name="직사각형 636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67" name="직사각형 636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68" name="직사각형 636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69" name="직사각형 636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70" name="직사각형 636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71" name="직사각형 637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72" name="직사각형 637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73" name="직사각형 637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74" name="직사각형 637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75" name="직사각형 637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76" name="직사각형 637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77" name="직사각형 637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78" name="직사각형 637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79" name="직사각형 637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80" name="직사각형 637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81" name="직사각형 638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82" name="직사각형 638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83" name="직사각형 638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84" name="직사각형 638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85" name="직사각형 638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86" name="직사각형 638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87" name="직사각형 638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88" name="직사각형 638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89" name="직사각형 638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90" name="직사각형 638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91" name="직사각형 639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92" name="직사각형 639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93" name="직사각형 639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94" name="직사각형 639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95" name="직사각형 639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96" name="직사각형 639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97" name="직사각형 639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98" name="직사각형 639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399" name="직사각형 639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00" name="직사각형 639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01" name="직사각형 640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02" name="직사각형 640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03" name="직사각형 640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04" name="직사각형 640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05" name="직사각형 640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06" name="직사각형 640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07" name="직사각형 640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08" name="직사각형 640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09" name="직사각형 640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10" name="직사각형 640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11" name="직사각형 641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12" name="직사각형 641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13" name="직사각형 641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14" name="직사각형 641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15" name="직사각형 641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16" name="직사각형 641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17" name="직사각형 641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18" name="직사각형 641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19" name="직사각형 641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20" name="직사각형 641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21" name="직사각형 642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22" name="직사각형 642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23" name="직사각형 642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24" name="직사각형 642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25" name="직사각형 642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26" name="직사각형 642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27" name="직사각형 642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28" name="직사각형 642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29" name="직사각형 642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30" name="직사각형 642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31" name="직사각형 643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32" name="직사각형 643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33" name="직사각형 643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34" name="직사각형 643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35" name="직사각형 643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36" name="직사각형 643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37" name="직사각형 643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38" name="직사각형 643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39" name="직사각형 643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40" name="직사각형 643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41" name="직사각형 644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42" name="직사각형 644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43" name="직사각형 644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44" name="직사각형 644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45" name="직사각형 644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46" name="직사각형 644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47" name="직사각형 644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48" name="직사각형 644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49" name="직사각형 644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50" name="직사각형 644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51" name="직사각형 645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52" name="직사각형 645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53" name="직사각형 645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54" name="직사각형 645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55" name="직사각형 645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56" name="직사각형 645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57" name="직사각형 645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58" name="직사각형 645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59" name="직사각형 645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60" name="직사각형 645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61" name="직사각형 646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62" name="직사각형 646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63" name="직사각형 646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64" name="직사각형 646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65" name="직사각형 646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66" name="직사각형 646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67" name="직사각형 646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68" name="직사각형 646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69" name="직사각형 646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70" name="직사각형 646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71" name="직사각형 647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72" name="직사각형 647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73" name="직사각형 647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74" name="직사각형 647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75" name="직사각형 647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76" name="직사각형 647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77" name="직사각형 647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78" name="직사각형 647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79" name="직사각형 647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80" name="직사각형 647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81" name="직사각형 648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82" name="직사각형 648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83" name="직사각형 648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84" name="직사각형 648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85" name="직사각형 648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86" name="직사각형 648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87" name="직사각형 648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88" name="직사각형 648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89" name="직사각형 648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90" name="직사각형 648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91" name="직사각형 649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92" name="직사각형 649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93" name="직사각형 649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94" name="직사각형 649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95" name="직사각형 649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96" name="직사각형 649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97" name="직사각형 649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98" name="직사각형 649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499" name="직사각형 649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00" name="직사각형 649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01" name="직사각형 650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02" name="직사각형 650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03" name="직사각형 650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04" name="직사각형 650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05" name="직사각형 650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06" name="직사각형 650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07" name="직사각형 650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08" name="직사각형 650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09" name="직사각형 650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10" name="직사각형 650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11" name="직사각형 651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12" name="직사각형 651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13" name="직사각형 651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14" name="직사각형 651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15" name="직사각형 651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16" name="직사각형 651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17" name="직사각형 651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18" name="직사각형 651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19" name="직사각형 651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20" name="직사각형 651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21" name="직사각형 652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22" name="직사각형 652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23" name="직사각형 652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24" name="직사각형 652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25" name="직사각형 652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26" name="직사각형 652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27" name="직사각형 652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28" name="직사각형 652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29" name="직사각형 652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30" name="직사각형 652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31" name="직사각형 653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32" name="직사각형 653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33" name="직사각형 653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34" name="직사각형 653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35" name="직사각형 653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36" name="직사각형 653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37" name="직사각형 653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38" name="직사각형 653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39" name="직사각형 653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40" name="직사각형 653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41" name="직사각형 654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42" name="직사각형 654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43" name="직사각형 654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44" name="직사각형 654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45" name="직사각형 654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46" name="직사각형 654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47" name="직사각형 654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48" name="직사각형 654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49" name="직사각형 654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50" name="직사각형 654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51" name="직사각형 655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52" name="직사각형 655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53" name="직사각형 655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54" name="직사각형 655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55" name="직사각형 655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56" name="직사각형 655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57" name="직사각형 655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58" name="직사각형 655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59" name="직사각형 655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60" name="직사각형 655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61" name="직사각형 656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62" name="직사각형 656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63" name="직사각형 656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64" name="직사각형 656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65" name="직사각형 656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66" name="직사각형 656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67" name="직사각형 656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68" name="직사각형 656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69" name="직사각형 656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70" name="직사각형 656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71" name="직사각형 657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72" name="직사각형 657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73" name="직사각형 657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74" name="직사각형 657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75" name="직사각형 657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76" name="직사각형 657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77" name="직사각형 657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78" name="직사각형 657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79" name="직사각형 657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80" name="직사각형 657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81" name="직사각형 658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82" name="직사각형 658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83" name="직사각형 658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84" name="직사각형 658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85" name="직사각형 658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86" name="직사각형 658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87" name="직사각형 658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88" name="직사각형 658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89" name="직사각형 658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90" name="직사각형 658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91" name="직사각형 659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92" name="직사각형 659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93" name="직사각형 659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94" name="직사각형 659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95" name="직사각형 659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96" name="직사각형 659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97" name="직사각형 659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98" name="직사각형 659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599" name="직사각형 659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00" name="직사각형 659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01" name="직사각형 660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02" name="직사각형 660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03" name="직사각형 660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04" name="직사각형 660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05" name="직사각형 660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06" name="직사각형 660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07" name="직사각형 660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08" name="직사각형 660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09" name="직사각형 660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10" name="직사각형 660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11" name="직사각형 661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12" name="직사각형 661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13" name="직사각형 661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14" name="직사각형 661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15" name="직사각형 661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16" name="직사각형 661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17" name="직사각형 661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18" name="직사각형 661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19" name="직사각형 661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20" name="직사각형 661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21" name="직사각형 662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22" name="직사각형 662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23" name="직사각형 662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24" name="직사각형 662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25" name="직사각형 662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26" name="직사각형 662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27" name="직사각형 662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28" name="직사각형 662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29" name="직사각형 662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30" name="직사각형 662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31" name="직사각형 663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32" name="직사각형 663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33" name="직사각형 663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34" name="직사각형 663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35" name="직사각형 663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36" name="직사각형 663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37" name="직사각형 663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38" name="직사각형 663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39" name="직사각형 663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40" name="직사각형 663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41" name="직사각형 664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42" name="직사각형 664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43" name="직사각형 664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44" name="직사각형 664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45" name="직사각형 664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46" name="직사각형 664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47" name="직사각형 664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48" name="직사각형 664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49" name="직사각형 664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50" name="직사각형 664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51" name="직사각형 665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52" name="직사각형 665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53" name="직사각형 665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54" name="직사각형 665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55" name="직사각형 665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56" name="직사각형 665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57" name="직사각형 665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58" name="직사각형 665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59" name="직사각형 665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60" name="직사각형 665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61" name="직사각형 666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62" name="직사각형 666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63" name="직사각형 666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64" name="직사각형 666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65" name="직사각형 666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66" name="직사각형 666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67" name="직사각형 666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68" name="직사각형 666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69" name="직사각형 666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70" name="직사각형 666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71" name="직사각형 667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72" name="직사각형 667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73" name="직사각형 667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74" name="직사각형 667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75" name="직사각형 667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76" name="직사각형 667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77" name="직사각형 667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78" name="직사각형 667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79" name="직사각형 667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80" name="직사각형 667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81" name="직사각형 668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82" name="직사각형 668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83" name="직사각형 668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84" name="직사각형 668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85" name="직사각형 668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86" name="직사각형 668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87" name="직사각형 668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88" name="직사각형 668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89" name="직사각형 668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90" name="직사각형 668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91" name="직사각형 669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92" name="직사각형 669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93" name="직사각형 669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94" name="직사각형 669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95" name="직사각형 669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96" name="직사각형 669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97" name="직사각형 669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98" name="직사각형 669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699" name="직사각형 669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00" name="직사각형 669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01" name="직사각형 670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02" name="직사각형 670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03" name="직사각형 670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04" name="직사각형 670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05" name="직사각형 670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06" name="직사각형 670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07" name="직사각형 670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08" name="직사각형 670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09" name="직사각형 670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10" name="직사각형 670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11" name="직사각형 671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12" name="직사각형 671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13" name="직사각형 671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14" name="직사각형 671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15" name="직사각형 671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16" name="직사각형 671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17" name="직사각형 671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18" name="직사각형 671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19" name="직사각형 671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20" name="직사각형 671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21" name="직사각형 672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22" name="직사각형 672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23" name="직사각형 672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24" name="직사각형 672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25" name="직사각형 672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26" name="직사각형 672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27" name="직사각형 672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28" name="직사각형 672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29" name="직사각형 672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30" name="직사각형 672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31" name="직사각형 673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32" name="직사각형 673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33" name="직사각형 673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34" name="직사각형 673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35" name="직사각형 673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36" name="직사각형 673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37" name="직사각형 673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38" name="직사각형 673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39" name="직사각형 673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40" name="직사각형 673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41" name="직사각형 674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42" name="직사각형 674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43" name="직사각형 674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44" name="직사각형 674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45" name="직사각형 674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46" name="직사각형 674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47" name="직사각형 674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48" name="직사각형 674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49" name="직사각형 674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50" name="직사각형 674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51" name="직사각형 675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52" name="직사각형 675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53" name="직사각형 675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54" name="직사각형 675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55" name="직사각형 675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56" name="직사각형 675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57" name="직사각형 675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58" name="직사각형 675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59" name="직사각형 675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60" name="직사각형 675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61" name="직사각형 676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62" name="직사각형 676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63" name="직사각형 676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64" name="직사각형 676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65" name="직사각형 676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66" name="직사각형 676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67" name="직사각형 676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68" name="직사각형 676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69" name="직사각형 676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70" name="직사각형 676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71" name="직사각형 677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72" name="직사각형 677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73" name="직사각형 677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74" name="직사각형 677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75" name="직사각형 677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76" name="직사각형 677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77" name="직사각형 677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78" name="직사각형 677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79" name="직사각형 677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80" name="직사각형 677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81" name="직사각형 678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82" name="직사각형 678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83" name="직사각형 678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84" name="직사각형 678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85" name="직사각형 678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86" name="직사각형 678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87" name="직사각형 678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88" name="직사각형 678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89" name="직사각형 678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90" name="직사각형 678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91" name="직사각형 679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92" name="직사각형 679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93" name="직사각형 679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94" name="직사각형 679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95" name="직사각형 679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96" name="직사각형 679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97" name="직사각형 679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98" name="직사각형 679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799" name="직사각형 679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00" name="직사각형 679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01" name="직사각형 680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02" name="직사각형 680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03" name="직사각형 680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04" name="직사각형 680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05" name="직사각형 680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06" name="직사각형 680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07" name="직사각형 680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08" name="직사각형 680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09" name="직사각형 680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10" name="직사각형 680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11" name="직사각형 681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12" name="직사각형 681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13" name="직사각형 681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14" name="직사각형 681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15" name="직사각형 681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16" name="직사각형 681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17" name="직사각형 681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18" name="직사각형 681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19" name="직사각형 681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20" name="직사각형 681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21" name="직사각형 682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22" name="직사각형 682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23" name="직사각형 682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24" name="직사각형 682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25" name="직사각형 682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26" name="직사각형 682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27" name="직사각형 682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28" name="직사각형 682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29" name="직사각형 682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30" name="직사각형 682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31" name="직사각형 683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32" name="직사각형 683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33" name="직사각형 683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34" name="직사각형 683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35" name="직사각형 683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36" name="직사각형 683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37" name="직사각형 683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38" name="직사각형 683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39" name="직사각형 683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40" name="직사각형 683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41" name="직사각형 684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42" name="직사각형 684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43" name="직사각형 684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44" name="직사각형 684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45" name="직사각형 684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46" name="직사각형 684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47" name="직사각형 684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48" name="직사각형 684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49" name="직사각형 684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50" name="직사각형 684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51" name="직사각형 685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52" name="직사각형 685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53" name="직사각형 685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54" name="직사각형 685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55" name="직사각형 685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56" name="직사각형 685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57" name="직사각형 685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58" name="직사각형 685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59" name="직사각형 685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60" name="직사각형 685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61" name="직사각형 686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62" name="직사각형 686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63" name="직사각형 686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64" name="직사각형 686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65" name="직사각형 686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66" name="직사각형 686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67" name="직사각형 686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68" name="직사각형 686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69" name="직사각형 686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70" name="직사각형 686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71" name="직사각형 687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72" name="직사각형 687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73" name="직사각형 687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74" name="직사각형 6873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75" name="직사각형 6874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76" name="직사각형 6875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77" name="직사각형 6876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78" name="직사각형 6877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79" name="직사각형 6878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80" name="직사각형 6879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81" name="직사각형 6880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82" name="직사각형 6881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110</xdr:row>
      <xdr:rowOff>0</xdr:rowOff>
    </xdr:from>
    <xdr:to>
      <xdr:col>14</xdr:col>
      <xdr:colOff>0</xdr:colOff>
      <xdr:row>111</xdr:row>
      <xdr:rowOff>57150</xdr:rowOff>
    </xdr:to>
    <xdr:sp macro="" textlink="">
      <xdr:nvSpPr>
        <xdr:cNvPr id="6883" name="직사각형 6882"/>
        <xdr:cNvSpPr/>
      </xdr:nvSpPr>
      <xdr:spPr>
        <a:xfrm>
          <a:off x="7127874" y="23058438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38100</xdr:colOff>
      <xdr:row>110</xdr:row>
      <xdr:rowOff>0</xdr:rowOff>
    </xdr:from>
    <xdr:to>
      <xdr:col>14</xdr:col>
      <xdr:colOff>9525</xdr:colOff>
      <xdr:row>111</xdr:row>
      <xdr:rowOff>76200</xdr:rowOff>
    </xdr:to>
    <xdr:sp macro="" textlink="">
      <xdr:nvSpPr>
        <xdr:cNvPr id="6884" name="직사각형 6883"/>
        <xdr:cNvSpPr/>
      </xdr:nvSpPr>
      <xdr:spPr>
        <a:xfrm>
          <a:off x="7159624" y="23058438"/>
          <a:ext cx="888999" cy="285749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38100</xdr:colOff>
      <xdr:row>110</xdr:row>
      <xdr:rowOff>0</xdr:rowOff>
    </xdr:from>
    <xdr:to>
      <xdr:col>14</xdr:col>
      <xdr:colOff>9525</xdr:colOff>
      <xdr:row>111</xdr:row>
      <xdr:rowOff>76200</xdr:rowOff>
    </xdr:to>
    <xdr:sp macro="" textlink="">
      <xdr:nvSpPr>
        <xdr:cNvPr id="6885" name="직사각형 6884"/>
        <xdr:cNvSpPr/>
      </xdr:nvSpPr>
      <xdr:spPr>
        <a:xfrm>
          <a:off x="7159624" y="23058438"/>
          <a:ext cx="888999" cy="285749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38100</xdr:colOff>
      <xdr:row>110</xdr:row>
      <xdr:rowOff>0</xdr:rowOff>
    </xdr:from>
    <xdr:to>
      <xdr:col>14</xdr:col>
      <xdr:colOff>9525</xdr:colOff>
      <xdr:row>111</xdr:row>
      <xdr:rowOff>76200</xdr:rowOff>
    </xdr:to>
    <xdr:sp macro="" textlink="">
      <xdr:nvSpPr>
        <xdr:cNvPr id="6886" name="직사각형 6885"/>
        <xdr:cNvSpPr/>
      </xdr:nvSpPr>
      <xdr:spPr>
        <a:xfrm>
          <a:off x="7159624" y="23058438"/>
          <a:ext cx="888999" cy="285749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38100</xdr:colOff>
      <xdr:row>110</xdr:row>
      <xdr:rowOff>0</xdr:rowOff>
    </xdr:from>
    <xdr:to>
      <xdr:col>14</xdr:col>
      <xdr:colOff>9525</xdr:colOff>
      <xdr:row>111</xdr:row>
      <xdr:rowOff>76200</xdr:rowOff>
    </xdr:to>
    <xdr:sp macro="" textlink="">
      <xdr:nvSpPr>
        <xdr:cNvPr id="6887" name="직사각형 6886"/>
        <xdr:cNvSpPr/>
      </xdr:nvSpPr>
      <xdr:spPr>
        <a:xfrm>
          <a:off x="7159624" y="23058438"/>
          <a:ext cx="888999" cy="285749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38100</xdr:colOff>
      <xdr:row>110</xdr:row>
      <xdr:rowOff>0</xdr:rowOff>
    </xdr:from>
    <xdr:to>
      <xdr:col>14</xdr:col>
      <xdr:colOff>9525</xdr:colOff>
      <xdr:row>111</xdr:row>
      <xdr:rowOff>76200</xdr:rowOff>
    </xdr:to>
    <xdr:sp macro="" textlink="">
      <xdr:nvSpPr>
        <xdr:cNvPr id="6888" name="직사각형 6887"/>
        <xdr:cNvSpPr/>
      </xdr:nvSpPr>
      <xdr:spPr>
        <a:xfrm>
          <a:off x="7159624" y="23058438"/>
          <a:ext cx="888999" cy="285749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38100</xdr:colOff>
      <xdr:row>110</xdr:row>
      <xdr:rowOff>0</xdr:rowOff>
    </xdr:from>
    <xdr:to>
      <xdr:col>14</xdr:col>
      <xdr:colOff>9525</xdr:colOff>
      <xdr:row>111</xdr:row>
      <xdr:rowOff>76200</xdr:rowOff>
    </xdr:to>
    <xdr:sp macro="" textlink="">
      <xdr:nvSpPr>
        <xdr:cNvPr id="6889" name="직사각형 6888"/>
        <xdr:cNvSpPr/>
      </xdr:nvSpPr>
      <xdr:spPr>
        <a:xfrm>
          <a:off x="7159624" y="23058438"/>
          <a:ext cx="888999" cy="285749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38100</xdr:colOff>
      <xdr:row>110</xdr:row>
      <xdr:rowOff>0</xdr:rowOff>
    </xdr:from>
    <xdr:to>
      <xdr:col>14</xdr:col>
      <xdr:colOff>9525</xdr:colOff>
      <xdr:row>111</xdr:row>
      <xdr:rowOff>76200</xdr:rowOff>
    </xdr:to>
    <xdr:sp macro="" textlink="">
      <xdr:nvSpPr>
        <xdr:cNvPr id="6890" name="직사각형 6889"/>
        <xdr:cNvSpPr/>
      </xdr:nvSpPr>
      <xdr:spPr>
        <a:xfrm>
          <a:off x="7159624" y="23058438"/>
          <a:ext cx="888999" cy="285749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38100</xdr:colOff>
      <xdr:row>110</xdr:row>
      <xdr:rowOff>0</xdr:rowOff>
    </xdr:from>
    <xdr:to>
      <xdr:col>14</xdr:col>
      <xdr:colOff>9525</xdr:colOff>
      <xdr:row>111</xdr:row>
      <xdr:rowOff>76200</xdr:rowOff>
    </xdr:to>
    <xdr:sp macro="" textlink="">
      <xdr:nvSpPr>
        <xdr:cNvPr id="6891" name="직사각형 6890"/>
        <xdr:cNvSpPr/>
      </xdr:nvSpPr>
      <xdr:spPr>
        <a:xfrm>
          <a:off x="7159624" y="23058438"/>
          <a:ext cx="888999" cy="285749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38100</xdr:colOff>
      <xdr:row>110</xdr:row>
      <xdr:rowOff>0</xdr:rowOff>
    </xdr:from>
    <xdr:to>
      <xdr:col>14</xdr:col>
      <xdr:colOff>9525</xdr:colOff>
      <xdr:row>111</xdr:row>
      <xdr:rowOff>76200</xdr:rowOff>
    </xdr:to>
    <xdr:sp macro="" textlink="">
      <xdr:nvSpPr>
        <xdr:cNvPr id="6892" name="직사각형 6891"/>
        <xdr:cNvSpPr/>
      </xdr:nvSpPr>
      <xdr:spPr>
        <a:xfrm>
          <a:off x="7159624" y="23058438"/>
          <a:ext cx="888999" cy="285749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38100</xdr:colOff>
      <xdr:row>110</xdr:row>
      <xdr:rowOff>0</xdr:rowOff>
    </xdr:from>
    <xdr:to>
      <xdr:col>14</xdr:col>
      <xdr:colOff>9525</xdr:colOff>
      <xdr:row>111</xdr:row>
      <xdr:rowOff>76200</xdr:rowOff>
    </xdr:to>
    <xdr:sp macro="" textlink="">
      <xdr:nvSpPr>
        <xdr:cNvPr id="6893" name="직사각형 6892"/>
        <xdr:cNvSpPr/>
      </xdr:nvSpPr>
      <xdr:spPr>
        <a:xfrm>
          <a:off x="7159624" y="23058438"/>
          <a:ext cx="888999" cy="285749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38100</xdr:colOff>
      <xdr:row>110</xdr:row>
      <xdr:rowOff>0</xdr:rowOff>
    </xdr:from>
    <xdr:to>
      <xdr:col>14</xdr:col>
      <xdr:colOff>9525</xdr:colOff>
      <xdr:row>111</xdr:row>
      <xdr:rowOff>76200</xdr:rowOff>
    </xdr:to>
    <xdr:sp macro="" textlink="">
      <xdr:nvSpPr>
        <xdr:cNvPr id="6894" name="직사각형 6893"/>
        <xdr:cNvSpPr/>
      </xdr:nvSpPr>
      <xdr:spPr>
        <a:xfrm>
          <a:off x="7159624" y="23058438"/>
          <a:ext cx="888999" cy="285749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38100</xdr:colOff>
      <xdr:row>110</xdr:row>
      <xdr:rowOff>0</xdr:rowOff>
    </xdr:from>
    <xdr:to>
      <xdr:col>14</xdr:col>
      <xdr:colOff>9525</xdr:colOff>
      <xdr:row>111</xdr:row>
      <xdr:rowOff>76200</xdr:rowOff>
    </xdr:to>
    <xdr:sp macro="" textlink="">
      <xdr:nvSpPr>
        <xdr:cNvPr id="6895" name="직사각형 6894"/>
        <xdr:cNvSpPr/>
      </xdr:nvSpPr>
      <xdr:spPr>
        <a:xfrm>
          <a:off x="7159624" y="23058438"/>
          <a:ext cx="888999" cy="285749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38100</xdr:colOff>
      <xdr:row>110</xdr:row>
      <xdr:rowOff>0</xdr:rowOff>
    </xdr:from>
    <xdr:to>
      <xdr:col>14</xdr:col>
      <xdr:colOff>9525</xdr:colOff>
      <xdr:row>111</xdr:row>
      <xdr:rowOff>76200</xdr:rowOff>
    </xdr:to>
    <xdr:sp macro="" textlink="">
      <xdr:nvSpPr>
        <xdr:cNvPr id="6896" name="직사각형 6895"/>
        <xdr:cNvSpPr/>
      </xdr:nvSpPr>
      <xdr:spPr>
        <a:xfrm>
          <a:off x="7159624" y="23058438"/>
          <a:ext cx="888999" cy="285749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38100</xdr:colOff>
      <xdr:row>110</xdr:row>
      <xdr:rowOff>0</xdr:rowOff>
    </xdr:from>
    <xdr:to>
      <xdr:col>14</xdr:col>
      <xdr:colOff>9525</xdr:colOff>
      <xdr:row>111</xdr:row>
      <xdr:rowOff>76200</xdr:rowOff>
    </xdr:to>
    <xdr:sp macro="" textlink="">
      <xdr:nvSpPr>
        <xdr:cNvPr id="6897" name="직사각형 6896"/>
        <xdr:cNvSpPr/>
      </xdr:nvSpPr>
      <xdr:spPr>
        <a:xfrm>
          <a:off x="7159624" y="23058438"/>
          <a:ext cx="888999" cy="285749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38100</xdr:colOff>
      <xdr:row>110</xdr:row>
      <xdr:rowOff>0</xdr:rowOff>
    </xdr:from>
    <xdr:to>
      <xdr:col>14</xdr:col>
      <xdr:colOff>9525</xdr:colOff>
      <xdr:row>111</xdr:row>
      <xdr:rowOff>76200</xdr:rowOff>
    </xdr:to>
    <xdr:sp macro="" textlink="">
      <xdr:nvSpPr>
        <xdr:cNvPr id="6898" name="직사각형 6897"/>
        <xdr:cNvSpPr/>
      </xdr:nvSpPr>
      <xdr:spPr>
        <a:xfrm>
          <a:off x="7159624" y="23058438"/>
          <a:ext cx="888999" cy="285749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38100</xdr:colOff>
      <xdr:row>110</xdr:row>
      <xdr:rowOff>0</xdr:rowOff>
    </xdr:from>
    <xdr:to>
      <xdr:col>14</xdr:col>
      <xdr:colOff>9525</xdr:colOff>
      <xdr:row>111</xdr:row>
      <xdr:rowOff>76200</xdr:rowOff>
    </xdr:to>
    <xdr:sp macro="" textlink="">
      <xdr:nvSpPr>
        <xdr:cNvPr id="6899" name="직사각형 6898"/>
        <xdr:cNvSpPr/>
      </xdr:nvSpPr>
      <xdr:spPr>
        <a:xfrm>
          <a:off x="7159624" y="23058438"/>
          <a:ext cx="888999" cy="285749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38100</xdr:colOff>
      <xdr:row>110</xdr:row>
      <xdr:rowOff>0</xdr:rowOff>
    </xdr:from>
    <xdr:to>
      <xdr:col>14</xdr:col>
      <xdr:colOff>9525</xdr:colOff>
      <xdr:row>111</xdr:row>
      <xdr:rowOff>76200</xdr:rowOff>
    </xdr:to>
    <xdr:sp macro="" textlink="">
      <xdr:nvSpPr>
        <xdr:cNvPr id="6900" name="직사각형 6899"/>
        <xdr:cNvSpPr/>
      </xdr:nvSpPr>
      <xdr:spPr>
        <a:xfrm>
          <a:off x="7159624" y="23058438"/>
          <a:ext cx="888999" cy="285749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38100</xdr:colOff>
      <xdr:row>110</xdr:row>
      <xdr:rowOff>0</xdr:rowOff>
    </xdr:from>
    <xdr:to>
      <xdr:col>14</xdr:col>
      <xdr:colOff>9525</xdr:colOff>
      <xdr:row>111</xdr:row>
      <xdr:rowOff>76200</xdr:rowOff>
    </xdr:to>
    <xdr:sp macro="" textlink="">
      <xdr:nvSpPr>
        <xdr:cNvPr id="6901" name="직사각형 6900"/>
        <xdr:cNvSpPr/>
      </xdr:nvSpPr>
      <xdr:spPr>
        <a:xfrm>
          <a:off x="7159624" y="23058438"/>
          <a:ext cx="888999" cy="285749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38100</xdr:colOff>
      <xdr:row>110</xdr:row>
      <xdr:rowOff>0</xdr:rowOff>
    </xdr:from>
    <xdr:to>
      <xdr:col>14</xdr:col>
      <xdr:colOff>9525</xdr:colOff>
      <xdr:row>111</xdr:row>
      <xdr:rowOff>76200</xdr:rowOff>
    </xdr:to>
    <xdr:sp macro="" textlink="">
      <xdr:nvSpPr>
        <xdr:cNvPr id="6902" name="직사각형 6901"/>
        <xdr:cNvSpPr/>
      </xdr:nvSpPr>
      <xdr:spPr>
        <a:xfrm>
          <a:off x="7159624" y="23058438"/>
          <a:ext cx="888999" cy="285749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38100</xdr:colOff>
      <xdr:row>110</xdr:row>
      <xdr:rowOff>0</xdr:rowOff>
    </xdr:from>
    <xdr:to>
      <xdr:col>14</xdr:col>
      <xdr:colOff>9525</xdr:colOff>
      <xdr:row>111</xdr:row>
      <xdr:rowOff>76200</xdr:rowOff>
    </xdr:to>
    <xdr:sp macro="" textlink="">
      <xdr:nvSpPr>
        <xdr:cNvPr id="6903" name="직사각형 6902"/>
        <xdr:cNvSpPr/>
      </xdr:nvSpPr>
      <xdr:spPr>
        <a:xfrm>
          <a:off x="7159624" y="23058438"/>
          <a:ext cx="888999" cy="285749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38100</xdr:colOff>
      <xdr:row>110</xdr:row>
      <xdr:rowOff>0</xdr:rowOff>
    </xdr:from>
    <xdr:to>
      <xdr:col>14</xdr:col>
      <xdr:colOff>9525</xdr:colOff>
      <xdr:row>111</xdr:row>
      <xdr:rowOff>76200</xdr:rowOff>
    </xdr:to>
    <xdr:sp macro="" textlink="">
      <xdr:nvSpPr>
        <xdr:cNvPr id="6904" name="직사각형 6903"/>
        <xdr:cNvSpPr/>
      </xdr:nvSpPr>
      <xdr:spPr>
        <a:xfrm>
          <a:off x="7159624" y="23058438"/>
          <a:ext cx="888999" cy="285749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38100</xdr:colOff>
      <xdr:row>110</xdr:row>
      <xdr:rowOff>0</xdr:rowOff>
    </xdr:from>
    <xdr:to>
      <xdr:col>14</xdr:col>
      <xdr:colOff>9525</xdr:colOff>
      <xdr:row>111</xdr:row>
      <xdr:rowOff>76200</xdr:rowOff>
    </xdr:to>
    <xdr:sp macro="" textlink="">
      <xdr:nvSpPr>
        <xdr:cNvPr id="6905" name="직사각형 6904"/>
        <xdr:cNvSpPr/>
      </xdr:nvSpPr>
      <xdr:spPr>
        <a:xfrm>
          <a:off x="7159624" y="23058438"/>
          <a:ext cx="888999" cy="285749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252</xdr:row>
      <xdr:rowOff>0</xdr:rowOff>
    </xdr:from>
    <xdr:to>
      <xdr:col>14</xdr:col>
      <xdr:colOff>0</xdr:colOff>
      <xdr:row>253</xdr:row>
      <xdr:rowOff>66675</xdr:rowOff>
    </xdr:to>
    <xdr:sp macro="" textlink="">
      <xdr:nvSpPr>
        <xdr:cNvPr id="6906" name="직사각형 6905"/>
        <xdr:cNvSpPr/>
      </xdr:nvSpPr>
      <xdr:spPr>
        <a:xfrm>
          <a:off x="7127874" y="512603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252</xdr:row>
      <xdr:rowOff>0</xdr:rowOff>
    </xdr:from>
    <xdr:to>
      <xdr:col>14</xdr:col>
      <xdr:colOff>0</xdr:colOff>
      <xdr:row>253</xdr:row>
      <xdr:rowOff>66675</xdr:rowOff>
    </xdr:to>
    <xdr:sp macro="" textlink="">
      <xdr:nvSpPr>
        <xdr:cNvPr id="6907" name="직사각형 6906"/>
        <xdr:cNvSpPr/>
      </xdr:nvSpPr>
      <xdr:spPr>
        <a:xfrm>
          <a:off x="7127874" y="512603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252</xdr:row>
      <xdr:rowOff>0</xdr:rowOff>
    </xdr:from>
    <xdr:to>
      <xdr:col>14</xdr:col>
      <xdr:colOff>0</xdr:colOff>
      <xdr:row>253</xdr:row>
      <xdr:rowOff>66675</xdr:rowOff>
    </xdr:to>
    <xdr:sp macro="" textlink="">
      <xdr:nvSpPr>
        <xdr:cNvPr id="6908" name="직사각형 6907"/>
        <xdr:cNvSpPr/>
      </xdr:nvSpPr>
      <xdr:spPr>
        <a:xfrm>
          <a:off x="7127874" y="512603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252</xdr:row>
      <xdr:rowOff>0</xdr:rowOff>
    </xdr:from>
    <xdr:to>
      <xdr:col>14</xdr:col>
      <xdr:colOff>0</xdr:colOff>
      <xdr:row>253</xdr:row>
      <xdr:rowOff>66675</xdr:rowOff>
    </xdr:to>
    <xdr:sp macro="" textlink="">
      <xdr:nvSpPr>
        <xdr:cNvPr id="6909" name="직사각형 6908"/>
        <xdr:cNvSpPr/>
      </xdr:nvSpPr>
      <xdr:spPr>
        <a:xfrm>
          <a:off x="7127874" y="512603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252</xdr:row>
      <xdr:rowOff>0</xdr:rowOff>
    </xdr:from>
    <xdr:to>
      <xdr:col>14</xdr:col>
      <xdr:colOff>0</xdr:colOff>
      <xdr:row>253</xdr:row>
      <xdr:rowOff>66675</xdr:rowOff>
    </xdr:to>
    <xdr:sp macro="" textlink="">
      <xdr:nvSpPr>
        <xdr:cNvPr id="6910" name="직사각형 6909"/>
        <xdr:cNvSpPr/>
      </xdr:nvSpPr>
      <xdr:spPr>
        <a:xfrm>
          <a:off x="7127874" y="512603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252</xdr:row>
      <xdr:rowOff>0</xdr:rowOff>
    </xdr:from>
    <xdr:to>
      <xdr:col>14</xdr:col>
      <xdr:colOff>0</xdr:colOff>
      <xdr:row>253</xdr:row>
      <xdr:rowOff>66675</xdr:rowOff>
    </xdr:to>
    <xdr:sp macro="" textlink="">
      <xdr:nvSpPr>
        <xdr:cNvPr id="6911" name="직사각형 6910"/>
        <xdr:cNvSpPr/>
      </xdr:nvSpPr>
      <xdr:spPr>
        <a:xfrm>
          <a:off x="7127874" y="512603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252</xdr:row>
      <xdr:rowOff>0</xdr:rowOff>
    </xdr:from>
    <xdr:to>
      <xdr:col>14</xdr:col>
      <xdr:colOff>0</xdr:colOff>
      <xdr:row>253</xdr:row>
      <xdr:rowOff>66675</xdr:rowOff>
    </xdr:to>
    <xdr:sp macro="" textlink="">
      <xdr:nvSpPr>
        <xdr:cNvPr id="6912" name="직사각형 6911"/>
        <xdr:cNvSpPr/>
      </xdr:nvSpPr>
      <xdr:spPr>
        <a:xfrm>
          <a:off x="7127874" y="512603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252</xdr:row>
      <xdr:rowOff>0</xdr:rowOff>
    </xdr:from>
    <xdr:to>
      <xdr:col>14</xdr:col>
      <xdr:colOff>0</xdr:colOff>
      <xdr:row>253</xdr:row>
      <xdr:rowOff>66675</xdr:rowOff>
    </xdr:to>
    <xdr:sp macro="" textlink="">
      <xdr:nvSpPr>
        <xdr:cNvPr id="6913" name="직사각형 6912"/>
        <xdr:cNvSpPr/>
      </xdr:nvSpPr>
      <xdr:spPr>
        <a:xfrm>
          <a:off x="7127874" y="51260372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223</xdr:row>
      <xdr:rowOff>0</xdr:rowOff>
    </xdr:from>
    <xdr:to>
      <xdr:col>14</xdr:col>
      <xdr:colOff>0</xdr:colOff>
      <xdr:row>224</xdr:row>
      <xdr:rowOff>66675</xdr:rowOff>
    </xdr:to>
    <xdr:sp macro="" textlink="">
      <xdr:nvSpPr>
        <xdr:cNvPr id="6914" name="직사각형 6913"/>
        <xdr:cNvSpPr/>
      </xdr:nvSpPr>
      <xdr:spPr>
        <a:xfrm>
          <a:off x="7127874" y="45537436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223</xdr:row>
      <xdr:rowOff>0</xdr:rowOff>
    </xdr:from>
    <xdr:to>
      <xdr:col>14</xdr:col>
      <xdr:colOff>0</xdr:colOff>
      <xdr:row>224</xdr:row>
      <xdr:rowOff>66675</xdr:rowOff>
    </xdr:to>
    <xdr:sp macro="" textlink="">
      <xdr:nvSpPr>
        <xdr:cNvPr id="6915" name="직사각형 6914"/>
        <xdr:cNvSpPr/>
      </xdr:nvSpPr>
      <xdr:spPr>
        <a:xfrm>
          <a:off x="7127874" y="45537436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223</xdr:row>
      <xdr:rowOff>0</xdr:rowOff>
    </xdr:from>
    <xdr:to>
      <xdr:col>14</xdr:col>
      <xdr:colOff>0</xdr:colOff>
      <xdr:row>224</xdr:row>
      <xdr:rowOff>66675</xdr:rowOff>
    </xdr:to>
    <xdr:sp macro="" textlink="">
      <xdr:nvSpPr>
        <xdr:cNvPr id="6916" name="직사각형 6915"/>
        <xdr:cNvSpPr/>
      </xdr:nvSpPr>
      <xdr:spPr>
        <a:xfrm>
          <a:off x="7127874" y="45537436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223</xdr:row>
      <xdr:rowOff>0</xdr:rowOff>
    </xdr:from>
    <xdr:to>
      <xdr:col>14</xdr:col>
      <xdr:colOff>0</xdr:colOff>
      <xdr:row>224</xdr:row>
      <xdr:rowOff>66675</xdr:rowOff>
    </xdr:to>
    <xdr:sp macro="" textlink="">
      <xdr:nvSpPr>
        <xdr:cNvPr id="6917" name="직사각형 6916"/>
        <xdr:cNvSpPr/>
      </xdr:nvSpPr>
      <xdr:spPr>
        <a:xfrm>
          <a:off x="7127874" y="45537436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223</xdr:row>
      <xdr:rowOff>0</xdr:rowOff>
    </xdr:from>
    <xdr:to>
      <xdr:col>14</xdr:col>
      <xdr:colOff>0</xdr:colOff>
      <xdr:row>224</xdr:row>
      <xdr:rowOff>66675</xdr:rowOff>
    </xdr:to>
    <xdr:sp macro="" textlink="">
      <xdr:nvSpPr>
        <xdr:cNvPr id="6918" name="직사각형 6917"/>
        <xdr:cNvSpPr/>
      </xdr:nvSpPr>
      <xdr:spPr>
        <a:xfrm>
          <a:off x="7127874" y="45537436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223</xdr:row>
      <xdr:rowOff>0</xdr:rowOff>
    </xdr:from>
    <xdr:to>
      <xdr:col>14</xdr:col>
      <xdr:colOff>0</xdr:colOff>
      <xdr:row>224</xdr:row>
      <xdr:rowOff>66675</xdr:rowOff>
    </xdr:to>
    <xdr:sp macro="" textlink="">
      <xdr:nvSpPr>
        <xdr:cNvPr id="6919" name="직사각형 6918"/>
        <xdr:cNvSpPr/>
      </xdr:nvSpPr>
      <xdr:spPr>
        <a:xfrm>
          <a:off x="7127874" y="45537436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223</xdr:row>
      <xdr:rowOff>0</xdr:rowOff>
    </xdr:from>
    <xdr:to>
      <xdr:col>14</xdr:col>
      <xdr:colOff>0</xdr:colOff>
      <xdr:row>224</xdr:row>
      <xdr:rowOff>66675</xdr:rowOff>
    </xdr:to>
    <xdr:sp macro="" textlink="">
      <xdr:nvSpPr>
        <xdr:cNvPr id="6920" name="직사각형 6919"/>
        <xdr:cNvSpPr/>
      </xdr:nvSpPr>
      <xdr:spPr>
        <a:xfrm>
          <a:off x="7127874" y="45537436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223</xdr:row>
      <xdr:rowOff>0</xdr:rowOff>
    </xdr:from>
    <xdr:to>
      <xdr:col>14</xdr:col>
      <xdr:colOff>0</xdr:colOff>
      <xdr:row>224</xdr:row>
      <xdr:rowOff>66675</xdr:rowOff>
    </xdr:to>
    <xdr:sp macro="" textlink="">
      <xdr:nvSpPr>
        <xdr:cNvPr id="6921" name="직사각형 6920"/>
        <xdr:cNvSpPr/>
      </xdr:nvSpPr>
      <xdr:spPr>
        <a:xfrm>
          <a:off x="7127874" y="45537436"/>
          <a:ext cx="912812" cy="261937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229</xdr:row>
      <xdr:rowOff>0</xdr:rowOff>
    </xdr:from>
    <xdr:to>
      <xdr:col>14</xdr:col>
      <xdr:colOff>0</xdr:colOff>
      <xdr:row>230</xdr:row>
      <xdr:rowOff>76200</xdr:rowOff>
    </xdr:to>
    <xdr:sp macro="" textlink="">
      <xdr:nvSpPr>
        <xdr:cNvPr id="6922" name="직사각형 6921"/>
        <xdr:cNvSpPr/>
      </xdr:nvSpPr>
      <xdr:spPr>
        <a:xfrm>
          <a:off x="7127874" y="46704244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229</xdr:row>
      <xdr:rowOff>0</xdr:rowOff>
    </xdr:from>
    <xdr:to>
      <xdr:col>14</xdr:col>
      <xdr:colOff>0</xdr:colOff>
      <xdr:row>230</xdr:row>
      <xdr:rowOff>76200</xdr:rowOff>
    </xdr:to>
    <xdr:sp macro="" textlink="">
      <xdr:nvSpPr>
        <xdr:cNvPr id="6923" name="직사각형 6922"/>
        <xdr:cNvSpPr/>
      </xdr:nvSpPr>
      <xdr:spPr>
        <a:xfrm>
          <a:off x="7127874" y="46704244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229</xdr:row>
      <xdr:rowOff>0</xdr:rowOff>
    </xdr:from>
    <xdr:to>
      <xdr:col>14</xdr:col>
      <xdr:colOff>0</xdr:colOff>
      <xdr:row>230</xdr:row>
      <xdr:rowOff>76200</xdr:rowOff>
    </xdr:to>
    <xdr:sp macro="" textlink="">
      <xdr:nvSpPr>
        <xdr:cNvPr id="6924" name="직사각형 6923"/>
        <xdr:cNvSpPr/>
      </xdr:nvSpPr>
      <xdr:spPr>
        <a:xfrm>
          <a:off x="7127874" y="46704244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229</xdr:row>
      <xdr:rowOff>0</xdr:rowOff>
    </xdr:from>
    <xdr:to>
      <xdr:col>14</xdr:col>
      <xdr:colOff>0</xdr:colOff>
      <xdr:row>230</xdr:row>
      <xdr:rowOff>76200</xdr:rowOff>
    </xdr:to>
    <xdr:sp macro="" textlink="">
      <xdr:nvSpPr>
        <xdr:cNvPr id="6925" name="직사각형 6924"/>
        <xdr:cNvSpPr/>
      </xdr:nvSpPr>
      <xdr:spPr>
        <a:xfrm>
          <a:off x="7127874" y="46704244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229</xdr:row>
      <xdr:rowOff>0</xdr:rowOff>
    </xdr:from>
    <xdr:to>
      <xdr:col>14</xdr:col>
      <xdr:colOff>0</xdr:colOff>
      <xdr:row>230</xdr:row>
      <xdr:rowOff>76200</xdr:rowOff>
    </xdr:to>
    <xdr:sp macro="" textlink="">
      <xdr:nvSpPr>
        <xdr:cNvPr id="6926" name="직사각형 6925"/>
        <xdr:cNvSpPr/>
      </xdr:nvSpPr>
      <xdr:spPr>
        <a:xfrm>
          <a:off x="7127874" y="46704244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229</xdr:row>
      <xdr:rowOff>0</xdr:rowOff>
    </xdr:from>
    <xdr:to>
      <xdr:col>14</xdr:col>
      <xdr:colOff>0</xdr:colOff>
      <xdr:row>230</xdr:row>
      <xdr:rowOff>76200</xdr:rowOff>
    </xdr:to>
    <xdr:sp macro="" textlink="">
      <xdr:nvSpPr>
        <xdr:cNvPr id="6927" name="직사각형 6926"/>
        <xdr:cNvSpPr/>
      </xdr:nvSpPr>
      <xdr:spPr>
        <a:xfrm>
          <a:off x="7127874" y="46704244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229</xdr:row>
      <xdr:rowOff>0</xdr:rowOff>
    </xdr:from>
    <xdr:to>
      <xdr:col>14</xdr:col>
      <xdr:colOff>0</xdr:colOff>
      <xdr:row>230</xdr:row>
      <xdr:rowOff>76200</xdr:rowOff>
    </xdr:to>
    <xdr:sp macro="" textlink="">
      <xdr:nvSpPr>
        <xdr:cNvPr id="6928" name="직사각형 6927"/>
        <xdr:cNvSpPr/>
      </xdr:nvSpPr>
      <xdr:spPr>
        <a:xfrm>
          <a:off x="7127874" y="46704244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13</xdr:col>
      <xdr:colOff>9525</xdr:colOff>
      <xdr:row>229</xdr:row>
      <xdr:rowOff>0</xdr:rowOff>
    </xdr:from>
    <xdr:to>
      <xdr:col>14</xdr:col>
      <xdr:colOff>0</xdr:colOff>
      <xdr:row>230</xdr:row>
      <xdr:rowOff>76200</xdr:rowOff>
    </xdr:to>
    <xdr:sp macro="" textlink="">
      <xdr:nvSpPr>
        <xdr:cNvPr id="6929" name="직사각형 6928"/>
        <xdr:cNvSpPr/>
      </xdr:nvSpPr>
      <xdr:spPr>
        <a:xfrm>
          <a:off x="7127874" y="46704244"/>
          <a:ext cx="912812" cy="269874"/>
        </a:xfrm>
        <a:prstGeom prst="rect">
          <a:avLst/>
        </a:prstGeom>
        <a:noFill/>
        <a:ln w="25400" cap="flat" cmpd="sng">
          <a:noFill/>
          <a:prstDash val="solid"/>
          <a:round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116;&#47924;&#54924;&#44228;&#54016;/&#50696;&#49328;/&#9733;%202024&#45380;&#46020;%20&#51652;&#55141;&#50896;%20&#48376;&#50696;&#49328;&#494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사업운영계획(표지)"/>
      <sheetName val="1.사업운영계획"/>
      <sheetName val="예산총칙(표지)"/>
      <sheetName val="2.예산총칙"/>
      <sheetName val="예산총괄표(표지)"/>
      <sheetName val="3-1.예산총괄표(출력하기)"/>
      <sheetName val="3-2.사업예산총괄표"/>
      <sheetName val="3-3.자본예산총괄표(출력하기)"/>
      <sheetName val="3-4. 수입예산 성질별 총괄표"/>
      <sheetName val="3-5.지출예산 성질별총괄표"/>
      <sheetName val="수입예산 표지"/>
      <sheetName val="4.수입예산"/>
      <sheetName val="지출예산 표지"/>
      <sheetName val="5.지출예산"/>
      <sheetName val="자금운영계획(표지)"/>
      <sheetName val="6.자금운영계획"/>
      <sheetName val="7.별첨자료(표지)"/>
      <sheetName val="별첨7-1. 임직원 인건비"/>
      <sheetName val="별첨7-2.계속비설명서"/>
      <sheetName val="별첨7-3.예산이월총괄표"/>
      <sheetName val="별첨7-4.예산이월설명서"/>
      <sheetName val="별첨7-5.중요자산취득설명서(출력하기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1">
          <cell r="G11">
            <v>21.57715972713202</v>
          </cell>
          <cell r="H11">
            <v>8425280000</v>
          </cell>
          <cell r="I11">
            <v>21.626820904968564</v>
          </cell>
          <cell r="J11">
            <v>608300000</v>
          </cell>
          <cell r="K11">
            <v>7.2199380910782791</v>
          </cell>
          <cell r="L11">
            <v>0</v>
          </cell>
          <cell r="M11">
            <v>0</v>
          </cell>
          <cell r="N11">
            <v>0</v>
          </cell>
        </row>
        <row r="15">
          <cell r="G15">
            <v>15.731426633290656</v>
          </cell>
          <cell r="H15">
            <v>7502861000</v>
          </cell>
          <cell r="I15">
            <v>19.259066894141601</v>
          </cell>
          <cell r="J15">
            <v>-916679000</v>
          </cell>
          <cell r="K15">
            <v>-12.217726011450832</v>
          </cell>
          <cell r="L15">
            <v>0</v>
          </cell>
          <cell r="M15">
            <v>6586182000</v>
          </cell>
          <cell r="N15">
            <v>0</v>
          </cell>
        </row>
        <row r="16">
          <cell r="G16">
            <v>1.3348771329753693</v>
          </cell>
          <cell r="H16">
            <v>573422000</v>
          </cell>
          <cell r="I16">
            <v>1.471914867751444</v>
          </cell>
          <cell r="J16">
            <v>-14557000</v>
          </cell>
          <cell r="K16">
            <v>-2.5386190275224876</v>
          </cell>
          <cell r="L16">
            <v>0</v>
          </cell>
          <cell r="M16">
            <v>558865000</v>
          </cell>
          <cell r="N16">
            <v>0</v>
          </cell>
        </row>
        <row r="19">
          <cell r="G19">
            <v>1.7914126841572238</v>
          </cell>
          <cell r="H19">
            <v>574000000</v>
          </cell>
          <cell r="I19">
            <v>1.4733985338709168</v>
          </cell>
          <cell r="J19">
            <v>176000000</v>
          </cell>
          <cell r="K19">
            <v>30.662020905923342</v>
          </cell>
          <cell r="L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 t="e">
            <v>#DIV/0!</v>
          </cell>
          <cell r="L20">
            <v>0</v>
          </cell>
        </row>
        <row r="24">
          <cell r="G24">
            <v>14.960923317982916</v>
          </cell>
          <cell r="H24">
            <v>5387709000</v>
          </cell>
          <cell r="I24">
            <v>13.829690838890492</v>
          </cell>
          <cell r="J24">
            <v>875891000</v>
          </cell>
          <cell r="K24">
            <v>16.257206912994</v>
          </cell>
          <cell r="L24">
            <v>0</v>
          </cell>
        </row>
        <row r="32">
          <cell r="G32">
            <v>0.19538341008541454</v>
          </cell>
          <cell r="H32">
            <v>35300000</v>
          </cell>
          <cell r="I32">
            <v>9.0611442936660902E-2</v>
          </cell>
          <cell r="J32">
            <v>46500000</v>
          </cell>
          <cell r="K32">
            <v>131.72804532577905</v>
          </cell>
          <cell r="L32">
            <v>0</v>
          </cell>
        </row>
        <row r="37">
          <cell r="G37">
            <v>2.4543715246593925</v>
          </cell>
          <cell r="H37">
            <v>190300000</v>
          </cell>
          <cell r="I37">
            <v>0.48848038500981783</v>
          </cell>
          <cell r="J37">
            <v>837257000</v>
          </cell>
          <cell r="K37">
            <v>439.96689437729896</v>
          </cell>
          <cell r="L37">
            <v>0</v>
          </cell>
        </row>
        <row r="54">
          <cell r="G54">
            <v>11.942751227714826</v>
          </cell>
          <cell r="H54">
            <v>0</v>
          </cell>
          <cell r="I54">
            <v>0</v>
          </cell>
          <cell r="J54">
            <v>5000000000</v>
          </cell>
          <cell r="K54">
            <v>0</v>
          </cell>
          <cell r="L54">
            <v>0</v>
          </cell>
        </row>
        <row r="56">
          <cell r="G56">
            <v>18.109868534194483</v>
          </cell>
          <cell r="H56">
            <v>11812810000</v>
          </cell>
          <cell r="I56">
            <v>30.322259468459418</v>
          </cell>
          <cell r="J56">
            <v>-4230860000</v>
          </cell>
          <cell r="K56">
            <v>-35.815864303243686</v>
          </cell>
          <cell r="L56">
            <v>0</v>
          </cell>
        </row>
        <row r="59">
          <cell r="G59">
            <v>11.794341046758259</v>
          </cell>
          <cell r="H59">
            <v>4365870000</v>
          </cell>
          <cell r="I59">
            <v>11.206735987928605</v>
          </cell>
          <cell r="J59">
            <v>571996000</v>
          </cell>
          <cell r="K59">
            <v>13.101535318275626</v>
          </cell>
          <cell r="L59">
            <v>0</v>
          </cell>
        </row>
      </sheetData>
      <sheetData sheetId="11">
        <row r="88">
          <cell r="F88">
            <v>0</v>
          </cell>
        </row>
        <row r="90">
          <cell r="F90">
            <v>0</v>
          </cell>
          <cell r="H90">
            <v>0</v>
          </cell>
        </row>
        <row r="91">
          <cell r="F91">
            <v>0</v>
          </cell>
          <cell r="H91">
            <v>0</v>
          </cell>
        </row>
        <row r="94"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4:O23"/>
  <sheetViews>
    <sheetView view="pageBreakPreview" topLeftCell="B1" zoomScale="60" zoomScaleNormal="100" workbookViewId="0">
      <selection activeCell="F30" sqref="F30"/>
    </sheetView>
  </sheetViews>
  <sheetFormatPr defaultColWidth="8.75" defaultRowHeight="16.5" x14ac:dyDescent="0.3"/>
  <cols>
    <col min="1" max="1" width="0.25" style="2" hidden="1" customWidth="1"/>
  </cols>
  <sheetData>
    <row r="4" spans="2:15" ht="34.5" x14ac:dyDescent="0.3">
      <c r="B4" s="1867"/>
      <c r="C4" s="1867"/>
      <c r="D4" s="1867"/>
      <c r="E4" s="1867"/>
      <c r="F4" s="1867"/>
      <c r="G4" s="1867"/>
      <c r="H4" s="1867"/>
      <c r="I4" s="1867"/>
      <c r="J4" s="1867"/>
      <c r="K4" s="1867"/>
      <c r="L4" s="1867"/>
      <c r="M4" s="1867"/>
      <c r="N4" s="1867"/>
      <c r="O4" s="1867"/>
    </row>
    <row r="5" spans="2:15" ht="46.5" x14ac:dyDescent="0.3">
      <c r="B5" s="1868" t="s">
        <v>520</v>
      </c>
      <c r="C5" s="1868"/>
      <c r="D5" s="1868"/>
      <c r="E5" s="1868"/>
      <c r="F5" s="1868"/>
      <c r="G5" s="1868"/>
      <c r="H5" s="1868"/>
      <c r="I5" s="1868"/>
      <c r="J5" s="1868"/>
      <c r="K5" s="1868"/>
      <c r="L5" s="1868"/>
      <c r="M5" s="1868"/>
      <c r="N5" s="1868"/>
      <c r="O5" s="1868"/>
    </row>
    <row r="6" spans="2:15" x14ac:dyDescent="0.3">
      <c r="B6" s="1022"/>
    </row>
    <row r="7" spans="2:15" x14ac:dyDescent="0.3">
      <c r="B7" s="1022"/>
    </row>
    <row r="8" spans="2:15" x14ac:dyDescent="0.3">
      <c r="B8" s="1022"/>
    </row>
    <row r="9" spans="2:15" x14ac:dyDescent="0.3">
      <c r="B9" s="1022"/>
    </row>
    <row r="10" spans="2:15" x14ac:dyDescent="0.3">
      <c r="B10" s="1022"/>
    </row>
    <row r="11" spans="2:15" x14ac:dyDescent="0.3">
      <c r="B11" s="1022"/>
    </row>
    <row r="12" spans="2:15" x14ac:dyDescent="0.3">
      <c r="B12" s="1022"/>
    </row>
    <row r="13" spans="2:15" x14ac:dyDescent="0.3">
      <c r="B13" s="1022"/>
    </row>
    <row r="14" spans="2:15" x14ac:dyDescent="0.3">
      <c r="B14" s="1022"/>
    </row>
    <row r="15" spans="2:15" x14ac:dyDescent="0.3">
      <c r="B15" s="1022"/>
    </row>
    <row r="16" spans="2:15" x14ac:dyDescent="0.3">
      <c r="B16" s="1022"/>
    </row>
    <row r="23" spans="2:15" ht="35.25" x14ac:dyDescent="0.3">
      <c r="B23" s="1869"/>
      <c r="C23" s="1869"/>
      <c r="D23" s="1869"/>
      <c r="E23" s="1869"/>
      <c r="F23" s="1869"/>
      <c r="G23" s="1869"/>
      <c r="H23" s="1869"/>
      <c r="I23" s="1869"/>
      <c r="J23" s="1869"/>
      <c r="K23" s="1869"/>
      <c r="L23" s="1869"/>
      <c r="M23" s="1869"/>
      <c r="N23" s="1869"/>
      <c r="O23" s="1869"/>
    </row>
  </sheetData>
  <mergeCells count="3">
    <mergeCell ref="B4:O4"/>
    <mergeCell ref="B5:O5"/>
    <mergeCell ref="B23:O23"/>
  </mergeCells>
  <phoneticPr fontId="53" type="noConversion"/>
  <pageMargins left="0.69972223043441772" right="0.69972223043441772" top="0.75" bottom="0.75" header="0.30000001192092896" footer="0.30000001192092896"/>
  <pageSetup paperSize="9" scale="9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O23"/>
  <sheetViews>
    <sheetView view="pageBreakPreview" topLeftCell="C1" zoomScale="60" zoomScaleNormal="100" workbookViewId="0">
      <selection activeCell="AD34" sqref="AD34"/>
    </sheetView>
  </sheetViews>
  <sheetFormatPr defaultColWidth="9" defaultRowHeight="16.5" x14ac:dyDescent="0.3"/>
  <cols>
    <col min="1" max="2" width="0" style="2" hidden="1" customWidth="1"/>
  </cols>
  <sheetData>
    <row r="1" spans="1:15" ht="27.75" customHeight="1" x14ac:dyDescent="0.3"/>
    <row r="2" spans="1:15" ht="27.75" customHeight="1" x14ac:dyDescent="0.3">
      <c r="A2" s="1871" t="s">
        <v>454</v>
      </c>
      <c r="B2" s="1871"/>
      <c r="C2" s="1871"/>
      <c r="D2" s="1871"/>
      <c r="E2" s="1871"/>
      <c r="F2" s="1871"/>
      <c r="G2" s="1871"/>
      <c r="H2" s="1871"/>
      <c r="I2" s="1871"/>
      <c r="J2" s="1871"/>
      <c r="K2" s="1871"/>
      <c r="L2" s="1871"/>
      <c r="M2" s="1871"/>
      <c r="N2" s="1871"/>
      <c r="O2" s="1871"/>
    </row>
    <row r="3" spans="1:15" ht="21.75" customHeight="1" x14ac:dyDescent="0.3">
      <c r="A3" s="1023"/>
      <c r="B3" s="1023"/>
      <c r="C3" s="1023"/>
      <c r="D3" s="3" t="s">
        <v>738</v>
      </c>
      <c r="E3" s="3"/>
      <c r="F3" s="3"/>
      <c r="G3" s="1870" t="s">
        <v>9</v>
      </c>
      <c r="H3" s="1870"/>
      <c r="I3" s="1870"/>
      <c r="J3" s="1870"/>
      <c r="K3" s="1870"/>
      <c r="L3" s="1870"/>
      <c r="M3" s="3"/>
      <c r="N3" s="1023"/>
      <c r="O3" s="1023"/>
    </row>
    <row r="4" spans="1:15" ht="21.75" customHeight="1" x14ac:dyDescent="0.3">
      <c r="A4" s="1023"/>
      <c r="B4" s="1023"/>
      <c r="C4" s="1023"/>
      <c r="D4" s="3" t="s">
        <v>214</v>
      </c>
      <c r="E4" s="3"/>
      <c r="F4" s="1870" t="s">
        <v>377</v>
      </c>
      <c r="G4" s="1870"/>
      <c r="H4" s="1870"/>
      <c r="I4" s="1870"/>
      <c r="J4" s="1870"/>
      <c r="K4" s="1870"/>
      <c r="L4" s="1870"/>
      <c r="M4" s="3"/>
      <c r="O4" s="1023"/>
    </row>
    <row r="5" spans="1:15" ht="21.75" customHeight="1" x14ac:dyDescent="0.3">
      <c r="A5" s="1023"/>
      <c r="B5" s="1023"/>
      <c r="C5" s="1023"/>
      <c r="D5" s="3" t="s">
        <v>726</v>
      </c>
      <c r="E5" s="3"/>
      <c r="F5" s="1870" t="s">
        <v>377</v>
      </c>
      <c r="G5" s="1870"/>
      <c r="H5" s="1870"/>
      <c r="I5" s="1870"/>
      <c r="J5" s="1870"/>
      <c r="K5" s="1870"/>
      <c r="L5" s="1870"/>
      <c r="M5" s="3"/>
      <c r="N5" s="1023"/>
      <c r="O5" s="1023"/>
    </row>
    <row r="6" spans="1:15" ht="21.75" customHeight="1" x14ac:dyDescent="0.3">
      <c r="A6" s="1023"/>
      <c r="B6" s="1023"/>
      <c r="C6" s="1023"/>
      <c r="D6" s="3"/>
      <c r="E6" s="3" t="s">
        <v>292</v>
      </c>
      <c r="F6" s="3"/>
      <c r="G6" s="1870" t="s">
        <v>9</v>
      </c>
      <c r="H6" s="1870"/>
      <c r="I6" s="1870"/>
      <c r="J6" s="1870"/>
      <c r="K6" s="1870"/>
      <c r="L6" s="1870"/>
      <c r="M6" s="3"/>
      <c r="N6" s="1023"/>
      <c r="O6" s="1023"/>
    </row>
    <row r="7" spans="1:15" ht="21.75" customHeight="1" x14ac:dyDescent="0.3">
      <c r="A7" s="1023"/>
      <c r="B7" s="1023"/>
      <c r="C7" s="1023"/>
      <c r="D7" s="3"/>
      <c r="E7" s="3" t="s">
        <v>729</v>
      </c>
      <c r="F7" s="3"/>
      <c r="G7" s="1870" t="s">
        <v>9</v>
      </c>
      <c r="H7" s="1870"/>
      <c r="I7" s="1870"/>
      <c r="J7" s="1870"/>
      <c r="K7" s="1870"/>
      <c r="L7" s="1870"/>
      <c r="M7" s="3"/>
      <c r="N7" s="1023"/>
      <c r="O7" s="1023"/>
    </row>
    <row r="8" spans="1:15" ht="21.75" customHeight="1" x14ac:dyDescent="0.3">
      <c r="A8" s="1023"/>
      <c r="B8" s="1023"/>
      <c r="C8" s="1024"/>
      <c r="D8" s="3" t="s">
        <v>302</v>
      </c>
      <c r="E8" s="3"/>
      <c r="F8" s="3"/>
      <c r="G8" s="3"/>
      <c r="H8" s="3"/>
      <c r="I8" s="3"/>
      <c r="J8" s="3"/>
      <c r="K8" s="3"/>
      <c r="L8" s="3"/>
      <c r="M8" s="3"/>
      <c r="N8" s="1023"/>
      <c r="O8" s="1023"/>
    </row>
    <row r="9" spans="1:15" ht="21.75" customHeight="1" x14ac:dyDescent="0.3">
      <c r="A9" s="1023"/>
      <c r="B9" s="1023"/>
      <c r="C9" s="1023"/>
      <c r="D9" s="3"/>
      <c r="E9" s="3" t="s">
        <v>449</v>
      </c>
      <c r="F9" s="3"/>
      <c r="G9" s="1870" t="s">
        <v>9</v>
      </c>
      <c r="H9" s="1870"/>
      <c r="I9" s="1870"/>
      <c r="J9" s="1870"/>
      <c r="K9" s="1870"/>
      <c r="L9" s="1870"/>
      <c r="M9" s="3"/>
      <c r="N9" s="1023"/>
      <c r="O9" s="1023"/>
    </row>
    <row r="10" spans="1:15" ht="21.75" customHeight="1" x14ac:dyDescent="0.3">
      <c r="A10" s="1023"/>
      <c r="B10" s="1023"/>
      <c r="C10" s="1023"/>
      <c r="D10" s="3"/>
      <c r="E10" s="3" t="s">
        <v>714</v>
      </c>
      <c r="F10" s="3"/>
      <c r="G10" s="1870" t="s">
        <v>9</v>
      </c>
      <c r="H10" s="1870"/>
      <c r="I10" s="1870"/>
      <c r="J10" s="1870"/>
      <c r="K10" s="1870"/>
      <c r="L10" s="1870"/>
      <c r="M10" s="3"/>
      <c r="N10" s="1023"/>
      <c r="O10" s="1023"/>
    </row>
    <row r="11" spans="1:15" ht="21.75" customHeight="1" x14ac:dyDescent="0.3">
      <c r="A11" s="1023"/>
      <c r="B11" s="1023"/>
      <c r="C11" s="1023"/>
      <c r="D11" s="3"/>
      <c r="E11" s="3" t="s">
        <v>711</v>
      </c>
      <c r="F11" s="3"/>
      <c r="G11" s="1870" t="s">
        <v>9</v>
      </c>
      <c r="H11" s="1870"/>
      <c r="I11" s="1870"/>
      <c r="J11" s="1870"/>
      <c r="K11" s="1870"/>
      <c r="L11" s="1870"/>
      <c r="M11" s="3"/>
      <c r="N11" s="1023"/>
      <c r="O11" s="1023"/>
    </row>
    <row r="12" spans="1:15" ht="21.75" customHeight="1" x14ac:dyDescent="0.3">
      <c r="A12" s="1023"/>
      <c r="B12" s="1023"/>
      <c r="C12" s="1023"/>
      <c r="D12" s="3" t="s">
        <v>257</v>
      </c>
      <c r="E12" s="3"/>
      <c r="F12" s="3"/>
      <c r="G12" s="3"/>
      <c r="H12" s="3"/>
      <c r="I12" s="3"/>
      <c r="J12" s="3"/>
      <c r="K12" s="3"/>
      <c r="L12" s="3"/>
      <c r="M12" s="3"/>
      <c r="N12" s="1023"/>
      <c r="O12" s="1023"/>
    </row>
    <row r="13" spans="1:15" ht="21.75" customHeight="1" x14ac:dyDescent="0.3">
      <c r="A13" s="1023"/>
      <c r="B13" s="1023"/>
      <c r="C13" s="1023"/>
      <c r="D13" s="3"/>
      <c r="E13" s="3" t="s">
        <v>734</v>
      </c>
      <c r="F13" s="3"/>
      <c r="G13" s="1870" t="s">
        <v>9</v>
      </c>
      <c r="H13" s="1870"/>
      <c r="I13" s="1870"/>
      <c r="J13" s="1870"/>
      <c r="K13" s="1870"/>
      <c r="L13" s="1870"/>
      <c r="M13" s="3"/>
      <c r="N13" s="1023"/>
      <c r="O13" s="1023"/>
    </row>
    <row r="14" spans="1:15" ht="21.75" customHeight="1" x14ac:dyDescent="0.3">
      <c r="A14" s="1023"/>
      <c r="B14" s="1023"/>
      <c r="C14" s="1023"/>
      <c r="D14" s="3"/>
      <c r="E14" s="3" t="s">
        <v>736</v>
      </c>
      <c r="F14" s="3"/>
      <c r="G14" s="1870" t="s">
        <v>9</v>
      </c>
      <c r="H14" s="1870"/>
      <c r="I14" s="1870"/>
      <c r="J14" s="1870"/>
      <c r="K14" s="1870"/>
      <c r="L14" s="1870"/>
      <c r="M14" s="3"/>
      <c r="N14" s="1023"/>
      <c r="O14" s="1023"/>
    </row>
    <row r="15" spans="1:15" ht="21.75" customHeight="1" x14ac:dyDescent="0.3">
      <c r="A15" s="1023"/>
      <c r="B15" s="1023"/>
      <c r="C15" s="1023"/>
      <c r="D15" s="3"/>
      <c r="E15" s="3" t="s">
        <v>721</v>
      </c>
      <c r="F15" s="3"/>
      <c r="G15" s="1870" t="s">
        <v>9</v>
      </c>
      <c r="H15" s="1870"/>
      <c r="I15" s="1870"/>
      <c r="J15" s="1870"/>
      <c r="K15" s="1870"/>
      <c r="L15" s="1870"/>
      <c r="M15" s="3"/>
      <c r="N15" s="1023"/>
      <c r="O15" s="1023"/>
    </row>
    <row r="16" spans="1:15" ht="21.75" customHeight="1" x14ac:dyDescent="0.3">
      <c r="A16" s="1023"/>
      <c r="B16" s="1023"/>
      <c r="C16" s="1023"/>
      <c r="D16" s="3" t="s">
        <v>740</v>
      </c>
      <c r="E16" s="3"/>
      <c r="F16" s="3"/>
      <c r="G16" s="3"/>
      <c r="H16" s="3"/>
      <c r="I16" s="3"/>
      <c r="J16" s="3"/>
      <c r="K16" s="3"/>
      <c r="L16" s="3"/>
      <c r="M16" s="3"/>
      <c r="N16" s="1023"/>
      <c r="O16" s="1023"/>
    </row>
    <row r="17" spans="1:15" ht="21.75" customHeight="1" x14ac:dyDescent="0.3">
      <c r="A17" s="1023"/>
      <c r="B17" s="1023"/>
      <c r="C17" s="1023"/>
      <c r="D17" s="3"/>
      <c r="E17" s="3" t="s">
        <v>755</v>
      </c>
      <c r="F17" s="3"/>
      <c r="G17" s="1870" t="s">
        <v>9</v>
      </c>
      <c r="H17" s="1870"/>
      <c r="I17" s="1870"/>
      <c r="J17" s="1870"/>
      <c r="K17" s="1870"/>
      <c r="L17" s="1870"/>
      <c r="M17" s="3"/>
      <c r="N17" s="1023"/>
      <c r="O17" s="1023"/>
    </row>
    <row r="18" spans="1:15" ht="21.75" customHeight="1" x14ac:dyDescent="0.3">
      <c r="A18" s="1023"/>
      <c r="B18" s="1023"/>
      <c r="C18" s="1023"/>
      <c r="D18" s="3"/>
      <c r="E18" s="3" t="s">
        <v>732</v>
      </c>
      <c r="F18" s="3"/>
      <c r="G18" s="1870" t="s">
        <v>9</v>
      </c>
      <c r="H18" s="1870"/>
      <c r="I18" s="1870"/>
      <c r="J18" s="1870"/>
      <c r="K18" s="1870"/>
      <c r="L18" s="1870"/>
      <c r="M18" s="3"/>
      <c r="N18" s="1023"/>
      <c r="O18" s="1023"/>
    </row>
    <row r="19" spans="1:15" ht="21.75" customHeight="1" x14ac:dyDescent="0.3">
      <c r="A19" s="1023"/>
      <c r="B19" s="1023"/>
      <c r="C19" s="1023"/>
      <c r="D19" s="3" t="s">
        <v>367</v>
      </c>
      <c r="E19" s="3"/>
      <c r="F19" s="3"/>
      <c r="G19" s="3"/>
      <c r="H19" s="3"/>
      <c r="I19" s="3"/>
      <c r="J19" s="3"/>
      <c r="K19" s="3"/>
      <c r="L19" s="3"/>
      <c r="M19" s="3"/>
      <c r="N19" s="1023"/>
      <c r="O19" s="1023"/>
    </row>
    <row r="20" spans="1:15" ht="21.75" customHeight="1" x14ac:dyDescent="0.3">
      <c r="A20" s="1023"/>
      <c r="B20" s="1023"/>
      <c r="C20" s="1023"/>
      <c r="D20" s="3"/>
      <c r="E20" s="3" t="s">
        <v>754</v>
      </c>
      <c r="F20" s="3"/>
      <c r="G20" s="1870" t="s">
        <v>9</v>
      </c>
      <c r="H20" s="1870"/>
      <c r="I20" s="1870"/>
      <c r="J20" s="1870"/>
      <c r="K20" s="1870"/>
      <c r="L20" s="1870"/>
      <c r="M20" s="3"/>
      <c r="N20" s="1023"/>
      <c r="O20" s="1023"/>
    </row>
    <row r="21" spans="1:15" ht="21.75" customHeight="1" x14ac:dyDescent="0.3">
      <c r="A21" s="1023"/>
      <c r="B21" s="1023"/>
      <c r="C21" s="1023"/>
      <c r="D21" s="3"/>
      <c r="E21" s="3" t="s">
        <v>746</v>
      </c>
      <c r="F21" s="3"/>
      <c r="G21" s="1870" t="s">
        <v>9</v>
      </c>
      <c r="H21" s="1870"/>
      <c r="I21" s="1870"/>
      <c r="J21" s="1870"/>
      <c r="K21" s="1870"/>
      <c r="L21" s="1870"/>
      <c r="M21" s="3"/>
      <c r="N21" s="1023"/>
      <c r="O21" s="1023"/>
    </row>
    <row r="22" spans="1:15" ht="21.75" customHeight="1" x14ac:dyDescent="0.3">
      <c r="A22" s="1023"/>
      <c r="B22" s="1023"/>
      <c r="C22" s="1023"/>
      <c r="D22" s="3"/>
      <c r="E22" s="3" t="s">
        <v>442</v>
      </c>
      <c r="F22" s="3"/>
      <c r="G22" s="3"/>
      <c r="H22" s="1870" t="s">
        <v>368</v>
      </c>
      <c r="I22" s="1870"/>
      <c r="J22" s="1870"/>
      <c r="K22" s="1870"/>
      <c r="L22" s="1870"/>
      <c r="M22" s="3"/>
      <c r="N22" s="1023"/>
      <c r="O22" s="1023"/>
    </row>
    <row r="23" spans="1:15" ht="21.75" customHeight="1" x14ac:dyDescent="0.3">
      <c r="A23" s="1023"/>
      <c r="B23" s="1023"/>
      <c r="C23" s="1023"/>
      <c r="D23" s="3"/>
      <c r="E23" s="3" t="s">
        <v>441</v>
      </c>
      <c r="F23" s="3"/>
      <c r="G23" s="3"/>
      <c r="H23" s="1870" t="s">
        <v>368</v>
      </c>
      <c r="I23" s="1870"/>
      <c r="J23" s="1870"/>
      <c r="K23" s="1870"/>
      <c r="L23" s="1870"/>
      <c r="M23" s="3"/>
      <c r="N23" s="1023"/>
      <c r="O23" s="1023"/>
    </row>
  </sheetData>
  <mergeCells count="18">
    <mergeCell ref="F4:L4"/>
    <mergeCell ref="G6:L6"/>
    <mergeCell ref="A2:O2"/>
    <mergeCell ref="G3:L3"/>
    <mergeCell ref="F5:L5"/>
    <mergeCell ref="H23:L23"/>
    <mergeCell ref="G17:L17"/>
    <mergeCell ref="G20:L20"/>
    <mergeCell ref="H22:L22"/>
    <mergeCell ref="G9:L9"/>
    <mergeCell ref="G10:L10"/>
    <mergeCell ref="G13:L13"/>
    <mergeCell ref="G14:L14"/>
    <mergeCell ref="G7:L7"/>
    <mergeCell ref="G11:L11"/>
    <mergeCell ref="G15:L15"/>
    <mergeCell ref="G18:L18"/>
    <mergeCell ref="G21:L21"/>
  </mergeCells>
  <phoneticPr fontId="53" type="noConversion"/>
  <pageMargins left="0.7086111307144165" right="0.7086111307144165" top="0.74750000238418579" bottom="0.74750000238418579" header="0.31486111879348755" footer="0.31486111879348755"/>
  <pageSetup paperSize="9" scale="94" orientation="landscape" r:id="rId1"/>
  <headerFooter>
    <oddFooter>&amp;C&amp;"맑은 고딕,Regular"- &amp;N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FFFF"/>
    <pageSetUpPr fitToPage="1"/>
  </sheetPr>
  <dimension ref="B16:S16"/>
  <sheetViews>
    <sheetView showGridLines="0" view="pageBreakPreview" zoomScale="75" zoomScaleNormal="100" zoomScaleSheetLayoutView="75" workbookViewId="0">
      <selection activeCell="H56" sqref="H56"/>
    </sheetView>
  </sheetViews>
  <sheetFormatPr defaultColWidth="9" defaultRowHeight="13.5" x14ac:dyDescent="0.3"/>
  <cols>
    <col min="1" max="1" width="0.125" style="1025" customWidth="1"/>
    <col min="2" max="2" width="8" style="1025" customWidth="1"/>
    <col min="3" max="3" width="6.75" style="1025" customWidth="1"/>
    <col min="4" max="4" width="6.25" style="1025" customWidth="1"/>
    <col min="5" max="5" width="12.75" style="1025" customWidth="1"/>
    <col min="6" max="6" width="11.5" style="1025" customWidth="1"/>
    <col min="7" max="7" width="13" style="1025" bestFit="1" customWidth="1"/>
    <col min="8" max="8" width="10.75" style="1025" customWidth="1"/>
    <col min="9" max="9" width="2.25" style="1025" customWidth="1"/>
    <col min="10" max="10" width="10.75" style="1025" customWidth="1"/>
    <col min="11" max="11" width="8.25" style="1025" customWidth="1"/>
    <col min="12" max="12" width="2.125" style="1025" customWidth="1"/>
    <col min="13" max="13" width="5.25" style="1025" customWidth="1"/>
    <col min="14" max="14" width="2" style="1025" customWidth="1"/>
    <col min="15" max="15" width="4.5" style="1025" customWidth="1"/>
    <col min="16" max="16" width="2.75" style="1025" customWidth="1"/>
    <col min="17" max="17" width="10.75" style="1025" customWidth="1"/>
    <col min="18" max="18" width="11.5" style="1025" customWidth="1"/>
    <col min="19" max="19" width="0.75" style="1025" customWidth="1"/>
    <col min="20" max="22" width="8.75" style="1025" customWidth="1"/>
    <col min="23" max="16384" width="9" style="1025"/>
  </cols>
  <sheetData>
    <row r="16" spans="2:19" ht="33.75" x14ac:dyDescent="0.3">
      <c r="B16" s="1872" t="s">
        <v>738</v>
      </c>
      <c r="C16" s="1872"/>
      <c r="D16" s="1872"/>
      <c r="E16" s="1872"/>
      <c r="F16" s="1872"/>
      <c r="G16" s="1872"/>
      <c r="H16" s="1872"/>
      <c r="I16" s="1872"/>
      <c r="J16" s="1872"/>
      <c r="K16" s="1872"/>
      <c r="L16" s="1872"/>
      <c r="M16" s="1872"/>
      <c r="N16" s="1872"/>
      <c r="O16" s="1872"/>
      <c r="P16" s="1872"/>
      <c r="Q16" s="1872"/>
      <c r="R16" s="1872"/>
      <c r="S16" s="1872"/>
    </row>
  </sheetData>
  <mergeCells count="1">
    <mergeCell ref="B16:S16"/>
  </mergeCells>
  <phoneticPr fontId="53" type="noConversion"/>
  <pageMargins left="0.27541667222976685" right="0.27541667222976685" top="0.74750000238418579" bottom="0.59041666984558105" header="0.43291667103767395" footer="0.31486111879348755"/>
  <pageSetup paperSize="9" fitToHeight="0" orientation="landscape" r:id="rId1"/>
  <headerFooter>
    <oddFooter>&amp;C&amp;"맑은 고딕,Regular"- &amp;N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FFFF00"/>
  </sheetPr>
  <dimension ref="B1:AX61"/>
  <sheetViews>
    <sheetView view="pageBreakPreview" zoomScaleNormal="100" zoomScaleSheetLayoutView="100" workbookViewId="0">
      <selection activeCell="D41" sqref="D41"/>
    </sheetView>
  </sheetViews>
  <sheetFormatPr defaultColWidth="9" defaultRowHeight="13.5" x14ac:dyDescent="0.3"/>
  <cols>
    <col min="1" max="1" width="0.25" style="1025" customWidth="1"/>
    <col min="2" max="2" width="4.75" style="1025" customWidth="1"/>
    <col min="3" max="3" width="10.75" style="1025" customWidth="1"/>
    <col min="4" max="4" width="19.5" style="1025" customWidth="1"/>
    <col min="5" max="5" width="11.5" style="1025" customWidth="1"/>
    <col min="6" max="12" width="10.625" style="1025" hidden="1" customWidth="1"/>
    <col min="13" max="13" width="3" style="1025" hidden="1" customWidth="1"/>
    <col min="14" max="14" width="11.75" style="1025" customWidth="1"/>
    <col min="15" max="22" width="10.625" style="1025" hidden="1" customWidth="1"/>
    <col min="23" max="23" width="12.125" style="1025" customWidth="1"/>
    <col min="24" max="24" width="1.125" style="1025" customWidth="1"/>
    <col min="25" max="25" width="13.5" style="1025" customWidth="1"/>
    <col min="26" max="26" width="16.5" style="1025" customWidth="1"/>
    <col min="27" max="27" width="11.625" style="1025" customWidth="1"/>
    <col min="28" max="35" width="10.625" style="1025" hidden="1" customWidth="1"/>
    <col min="36" max="36" width="11.75" style="1025" customWidth="1"/>
    <col min="37" max="44" width="10.625" style="1025" hidden="1" customWidth="1"/>
    <col min="45" max="45" width="11.75" style="1025" customWidth="1"/>
    <col min="46" max="46" width="19.5" style="1025" customWidth="1"/>
    <col min="47" max="47" width="12.25" style="1025" customWidth="1"/>
    <col min="48" max="48" width="11" style="1025" customWidth="1"/>
    <col min="49" max="49" width="13.625" style="1025" bestFit="1" customWidth="1"/>
    <col min="50" max="50" width="10.25" style="1025" bestFit="1" customWidth="1"/>
    <col min="51" max="55" width="9.125" style="1025" bestFit="1" customWidth="1"/>
    <col min="56" max="16384" width="9" style="1025"/>
  </cols>
  <sheetData>
    <row r="1" spans="2:49" ht="21.6" customHeight="1" x14ac:dyDescent="0.3">
      <c r="C1" s="1026" t="s">
        <v>738</v>
      </c>
    </row>
    <row r="2" spans="2:49" ht="13.15" customHeight="1" x14ac:dyDescent="0.3">
      <c r="C2" s="1026"/>
      <c r="W2" s="1027" t="s">
        <v>639</v>
      </c>
      <c r="X2" s="1027"/>
      <c r="Y2" s="1027"/>
      <c r="Z2" s="1027"/>
      <c r="AA2" s="1027"/>
      <c r="AB2" s="1027"/>
      <c r="AC2" s="1027"/>
      <c r="AD2" s="1027"/>
      <c r="AE2" s="1027"/>
      <c r="AF2" s="1027"/>
      <c r="AG2" s="1027"/>
      <c r="AH2" s="1027"/>
      <c r="AI2" s="1027"/>
      <c r="AJ2" s="1027"/>
      <c r="AK2" s="1027"/>
      <c r="AL2" s="1027"/>
      <c r="AM2" s="1027"/>
      <c r="AN2" s="1027"/>
      <c r="AO2" s="1027"/>
      <c r="AP2" s="1027"/>
      <c r="AQ2" s="1027"/>
      <c r="AR2" s="1027"/>
      <c r="AS2" s="1027" t="s">
        <v>639</v>
      </c>
    </row>
    <row r="3" spans="2:49" ht="15" customHeight="1" x14ac:dyDescent="0.3">
      <c r="B3" s="1911" t="s">
        <v>444</v>
      </c>
      <c r="C3" s="1912"/>
      <c r="D3" s="1913"/>
      <c r="E3" s="1028" t="s">
        <v>74</v>
      </c>
      <c r="F3" s="1029" t="s">
        <v>101</v>
      </c>
      <c r="G3" s="1029" t="s">
        <v>122</v>
      </c>
      <c r="H3" s="1029" t="s">
        <v>85</v>
      </c>
      <c r="I3" s="1029" t="s">
        <v>119</v>
      </c>
      <c r="J3" s="1029" t="s">
        <v>76</v>
      </c>
      <c r="K3" s="1029" t="s">
        <v>83</v>
      </c>
      <c r="L3" s="1029" t="s">
        <v>61</v>
      </c>
      <c r="M3" s="1029" t="s">
        <v>90</v>
      </c>
      <c r="N3" s="1030" t="s">
        <v>287</v>
      </c>
      <c r="O3" s="1029" t="s">
        <v>101</v>
      </c>
      <c r="P3" s="1029" t="s">
        <v>122</v>
      </c>
      <c r="Q3" s="1029" t="s">
        <v>85</v>
      </c>
      <c r="R3" s="1029" t="s">
        <v>119</v>
      </c>
      <c r="S3" s="1029" t="s">
        <v>76</v>
      </c>
      <c r="T3" s="1029" t="s">
        <v>83</v>
      </c>
      <c r="U3" s="1029" t="s">
        <v>61</v>
      </c>
      <c r="V3" s="1029" t="s">
        <v>90</v>
      </c>
      <c r="W3" s="1031" t="s">
        <v>273</v>
      </c>
      <c r="X3" s="1032"/>
      <c r="Y3" s="1914" t="s">
        <v>447</v>
      </c>
      <c r="Z3" s="1915"/>
      <c r="AA3" s="1033" t="s">
        <v>74</v>
      </c>
      <c r="AB3" s="1033" t="s">
        <v>101</v>
      </c>
      <c r="AC3" s="1033" t="s">
        <v>122</v>
      </c>
      <c r="AD3" s="1033" t="s">
        <v>85</v>
      </c>
      <c r="AE3" s="1033" t="s">
        <v>119</v>
      </c>
      <c r="AF3" s="1033" t="s">
        <v>76</v>
      </c>
      <c r="AG3" s="1033" t="s">
        <v>83</v>
      </c>
      <c r="AH3" s="1033" t="s">
        <v>104</v>
      </c>
      <c r="AI3" s="1033" t="s">
        <v>90</v>
      </c>
      <c r="AJ3" s="1034" t="s">
        <v>287</v>
      </c>
      <c r="AK3" s="1033" t="s">
        <v>101</v>
      </c>
      <c r="AL3" s="1033" t="s">
        <v>122</v>
      </c>
      <c r="AM3" s="1033" t="s">
        <v>85</v>
      </c>
      <c r="AN3" s="1033" t="s">
        <v>119</v>
      </c>
      <c r="AO3" s="1033" t="s">
        <v>76</v>
      </c>
      <c r="AP3" s="1033" t="s">
        <v>83</v>
      </c>
      <c r="AQ3" s="1033" t="s">
        <v>104</v>
      </c>
      <c r="AR3" s="1033" t="s">
        <v>90</v>
      </c>
      <c r="AS3" s="1035" t="s">
        <v>756</v>
      </c>
    </row>
    <row r="4" spans="2:49" ht="15" customHeight="1" x14ac:dyDescent="0.3">
      <c r="B4" s="1916" t="s">
        <v>264</v>
      </c>
      <c r="C4" s="1917"/>
      <c r="D4" s="1918"/>
      <c r="E4" s="1036">
        <f>SUM(E5,E24,E21)</f>
        <v>5340000000</v>
      </c>
      <c r="F4" s="1036">
        <f t="shared" ref="F4:W4" si="0">SUM(F5,F24,F21)</f>
        <v>99.892515238950551</v>
      </c>
      <c r="G4" s="1036">
        <f t="shared" si="0"/>
        <v>38867552000</v>
      </c>
      <c r="H4" s="1036">
        <f t="shared" si="0"/>
        <v>99.768979323957524</v>
      </c>
      <c r="I4" s="1036">
        <f t="shared" si="0"/>
        <v>2953848000</v>
      </c>
      <c r="J4" s="1036" t="e">
        <f t="shared" si="0"/>
        <v>#DIV/0!</v>
      </c>
      <c r="K4" s="1036" t="e">
        <f t="shared" si="0"/>
        <v>#REF!</v>
      </c>
      <c r="L4" s="1036" t="e">
        <f t="shared" si="0"/>
        <v>#REF!</v>
      </c>
      <c r="M4" s="1036">
        <f t="shared" si="0"/>
        <v>0</v>
      </c>
      <c r="N4" s="1036">
        <f t="shared" si="0"/>
        <v>5295574000</v>
      </c>
      <c r="O4" s="1036" t="e">
        <f t="shared" si="0"/>
        <v>#REF!</v>
      </c>
      <c r="P4" s="1036" t="e">
        <f t="shared" si="0"/>
        <v>#REF!</v>
      </c>
      <c r="Q4" s="1036" t="e">
        <f t="shared" si="0"/>
        <v>#REF!</v>
      </c>
      <c r="R4" s="1036" t="e">
        <f t="shared" si="0"/>
        <v>#REF!</v>
      </c>
      <c r="S4" s="1036" t="e">
        <f t="shared" si="0"/>
        <v>#REF!</v>
      </c>
      <c r="T4" s="1036" t="e">
        <f t="shared" si="0"/>
        <v>#REF!</v>
      </c>
      <c r="U4" s="1036" t="e">
        <f t="shared" si="0"/>
        <v>#REF!</v>
      </c>
      <c r="V4" s="1036" t="e">
        <f t="shared" si="0"/>
        <v>#REF!</v>
      </c>
      <c r="W4" s="1037">
        <f t="shared" si="0"/>
        <v>44426000</v>
      </c>
      <c r="X4" s="1032"/>
      <c r="Y4" s="1919" t="s">
        <v>294</v>
      </c>
      <c r="Z4" s="1920"/>
      <c r="AA4" s="1038">
        <f>AA5+AA27+AA32</f>
        <v>32072175407</v>
      </c>
      <c r="AB4" s="1038">
        <f t="shared" ref="AB4:AR4" si="1">AB5+AB27+AB32</f>
        <v>0</v>
      </c>
      <c r="AC4" s="1038">
        <f t="shared" si="1"/>
        <v>0</v>
      </c>
      <c r="AD4" s="1038">
        <f t="shared" si="1"/>
        <v>0</v>
      </c>
      <c r="AE4" s="1038">
        <f t="shared" si="1"/>
        <v>0</v>
      </c>
      <c r="AF4" s="1038">
        <f t="shared" si="1"/>
        <v>0</v>
      </c>
      <c r="AG4" s="1038">
        <f t="shared" si="1"/>
        <v>0</v>
      </c>
      <c r="AH4" s="1038">
        <f t="shared" si="1"/>
        <v>0</v>
      </c>
      <c r="AI4" s="1038">
        <f t="shared" si="1"/>
        <v>0</v>
      </c>
      <c r="AJ4" s="1038">
        <f t="shared" si="1"/>
        <v>41866399552</v>
      </c>
      <c r="AK4" s="1038">
        <f t="shared" si="1"/>
        <v>0</v>
      </c>
      <c r="AL4" s="1038">
        <f t="shared" si="1"/>
        <v>0</v>
      </c>
      <c r="AM4" s="1038">
        <f t="shared" si="1"/>
        <v>0</v>
      </c>
      <c r="AN4" s="1038">
        <f t="shared" si="1"/>
        <v>0</v>
      </c>
      <c r="AO4" s="1038">
        <f t="shared" si="1"/>
        <v>0</v>
      </c>
      <c r="AP4" s="1038">
        <f t="shared" si="1"/>
        <v>0</v>
      </c>
      <c r="AQ4" s="1038">
        <f t="shared" si="1"/>
        <v>0</v>
      </c>
      <c r="AR4" s="1038">
        <f t="shared" si="1"/>
        <v>0</v>
      </c>
      <c r="AS4" s="1038">
        <f>AS5+AS27+AS32-1000</f>
        <v>-9794225145</v>
      </c>
    </row>
    <row r="5" spans="2:49" ht="15" customHeight="1" x14ac:dyDescent="0.3">
      <c r="B5" s="1883" t="s">
        <v>217</v>
      </c>
      <c r="C5" s="1923" t="s">
        <v>235</v>
      </c>
      <c r="D5" s="1918"/>
      <c r="E5" s="1036">
        <f>SUM(E6,E9,E12,E16,E20)</f>
        <v>1340000000</v>
      </c>
      <c r="F5" s="1036">
        <f t="shared" ref="F5:V5" si="2">SUM(F6,F9,F12,F16)</f>
        <v>55.395799495538185</v>
      </c>
      <c r="G5" s="1036">
        <f t="shared" si="2"/>
        <v>22463272000</v>
      </c>
      <c r="H5" s="1036">
        <f t="shared" si="2"/>
        <v>57.660892039623015</v>
      </c>
      <c r="I5" s="1036">
        <f t="shared" si="2"/>
        <v>728955000</v>
      </c>
      <c r="J5" s="1036" t="e">
        <f t="shared" si="2"/>
        <v>#DIV/0!</v>
      </c>
      <c r="K5" s="1036" t="e">
        <f t="shared" si="2"/>
        <v>#REF!</v>
      </c>
      <c r="L5" s="1036" t="e">
        <f t="shared" si="2"/>
        <v>#REF!</v>
      </c>
      <c r="M5" s="1036">
        <f t="shared" si="2"/>
        <v>0</v>
      </c>
      <c r="N5" s="1036">
        <f>SUM(N6,N9,N12,N16,N20)</f>
        <v>1885574000</v>
      </c>
      <c r="O5" s="1036">
        <f t="shared" si="2"/>
        <v>0</v>
      </c>
      <c r="P5" s="1036">
        <f t="shared" si="2"/>
        <v>0</v>
      </c>
      <c r="Q5" s="1036">
        <f t="shared" si="2"/>
        <v>0</v>
      </c>
      <c r="R5" s="1036">
        <f t="shared" si="2"/>
        <v>0</v>
      </c>
      <c r="S5" s="1036">
        <f t="shared" si="2"/>
        <v>0</v>
      </c>
      <c r="T5" s="1036">
        <f t="shared" si="2"/>
        <v>0</v>
      </c>
      <c r="U5" s="1036">
        <f t="shared" si="2"/>
        <v>0</v>
      </c>
      <c r="V5" s="1036">
        <f t="shared" si="2"/>
        <v>0</v>
      </c>
      <c r="W5" s="1037">
        <f>SUM(W6,W9,W12,W16,W20)</f>
        <v>-545574000</v>
      </c>
      <c r="X5" s="1032"/>
      <c r="Y5" s="1924" t="s">
        <v>249</v>
      </c>
      <c r="Z5" s="1925"/>
      <c r="AA5" s="1039">
        <f>AA6+AA26</f>
        <v>26426013407</v>
      </c>
      <c r="AB5" s="1039">
        <f t="shared" ref="AB5:AS5" si="3">AB6+AB26</f>
        <v>0</v>
      </c>
      <c r="AC5" s="1039">
        <f t="shared" si="3"/>
        <v>0</v>
      </c>
      <c r="AD5" s="1039">
        <f t="shared" si="3"/>
        <v>0</v>
      </c>
      <c r="AE5" s="1039">
        <f t="shared" si="3"/>
        <v>0</v>
      </c>
      <c r="AF5" s="1039">
        <f t="shared" si="3"/>
        <v>0</v>
      </c>
      <c r="AG5" s="1039">
        <f t="shared" si="3"/>
        <v>0</v>
      </c>
      <c r="AH5" s="1039">
        <f t="shared" si="3"/>
        <v>0</v>
      </c>
      <c r="AI5" s="1039">
        <f t="shared" si="3"/>
        <v>0</v>
      </c>
      <c r="AJ5" s="1039">
        <f t="shared" si="3"/>
        <v>29860697552</v>
      </c>
      <c r="AK5" s="1039">
        <f t="shared" si="3"/>
        <v>0</v>
      </c>
      <c r="AL5" s="1039">
        <f t="shared" si="3"/>
        <v>0</v>
      </c>
      <c r="AM5" s="1039">
        <f t="shared" si="3"/>
        <v>0</v>
      </c>
      <c r="AN5" s="1039">
        <f t="shared" si="3"/>
        <v>0</v>
      </c>
      <c r="AO5" s="1039">
        <f t="shared" si="3"/>
        <v>0</v>
      </c>
      <c r="AP5" s="1039">
        <f t="shared" si="3"/>
        <v>0</v>
      </c>
      <c r="AQ5" s="1039">
        <f t="shared" si="3"/>
        <v>0</v>
      </c>
      <c r="AR5" s="1039">
        <f t="shared" si="3"/>
        <v>0</v>
      </c>
      <c r="AS5" s="1039">
        <f t="shared" si="3"/>
        <v>-3434684145</v>
      </c>
    </row>
    <row r="6" spans="2:49" ht="15" customHeight="1" x14ac:dyDescent="0.3">
      <c r="B6" s="1921"/>
      <c r="C6" s="1926" t="s">
        <v>304</v>
      </c>
      <c r="D6" s="1040" t="s">
        <v>52</v>
      </c>
      <c r="E6" s="1041">
        <f>SUM(E7:E8)</f>
        <v>940000000</v>
      </c>
      <c r="F6" s="1041">
        <f t="shared" ref="F6:V6" si="4">SUM(F7:F8)</f>
        <v>21.57715972713202</v>
      </c>
      <c r="G6" s="1041">
        <f t="shared" si="4"/>
        <v>8425280000</v>
      </c>
      <c r="H6" s="1041">
        <f t="shared" si="4"/>
        <v>21.626820904968564</v>
      </c>
      <c r="I6" s="1041">
        <f t="shared" si="4"/>
        <v>608300000</v>
      </c>
      <c r="J6" s="1041">
        <f t="shared" si="4"/>
        <v>7.2199380910782791</v>
      </c>
      <c r="K6" s="1041">
        <f t="shared" si="4"/>
        <v>0</v>
      </c>
      <c r="L6" s="1041">
        <f t="shared" si="4"/>
        <v>0</v>
      </c>
      <c r="M6" s="1041">
        <f t="shared" si="4"/>
        <v>0</v>
      </c>
      <c r="N6" s="1041">
        <f t="shared" si="4"/>
        <v>1050000000</v>
      </c>
      <c r="O6" s="1041">
        <f t="shared" si="4"/>
        <v>0</v>
      </c>
      <c r="P6" s="1041">
        <f t="shared" si="4"/>
        <v>0</v>
      </c>
      <c r="Q6" s="1041">
        <f t="shared" si="4"/>
        <v>0</v>
      </c>
      <c r="R6" s="1041">
        <f t="shared" si="4"/>
        <v>0</v>
      </c>
      <c r="S6" s="1041">
        <f t="shared" si="4"/>
        <v>0</v>
      </c>
      <c r="T6" s="1041">
        <f t="shared" si="4"/>
        <v>0</v>
      </c>
      <c r="U6" s="1041">
        <f t="shared" si="4"/>
        <v>0</v>
      </c>
      <c r="V6" s="1041">
        <f t="shared" si="4"/>
        <v>0</v>
      </c>
      <c r="W6" s="1042">
        <f t="shared" ref="W6:W15" si="5">E6-N6</f>
        <v>-110000000</v>
      </c>
      <c r="X6" s="1032"/>
      <c r="Y6" s="1874" t="s">
        <v>301</v>
      </c>
      <c r="Z6" s="1043" t="s">
        <v>52</v>
      </c>
      <c r="AA6" s="1044">
        <f>SUM(AA7:AA25)</f>
        <v>26426013407</v>
      </c>
      <c r="AB6" s="1044">
        <f t="shared" ref="AB6:AS6" si="6">SUM(AB7:AB25)</f>
        <v>0</v>
      </c>
      <c r="AC6" s="1044">
        <f t="shared" si="6"/>
        <v>0</v>
      </c>
      <c r="AD6" s="1044">
        <f t="shared" si="6"/>
        <v>0</v>
      </c>
      <c r="AE6" s="1044">
        <f t="shared" si="6"/>
        <v>0</v>
      </c>
      <c r="AF6" s="1044">
        <f t="shared" si="6"/>
        <v>0</v>
      </c>
      <c r="AG6" s="1044">
        <f t="shared" si="6"/>
        <v>0</v>
      </c>
      <c r="AH6" s="1044">
        <f t="shared" si="6"/>
        <v>0</v>
      </c>
      <c r="AI6" s="1044">
        <f t="shared" si="6"/>
        <v>0</v>
      </c>
      <c r="AJ6" s="1044">
        <f t="shared" si="6"/>
        <v>29853197552</v>
      </c>
      <c r="AK6" s="1044">
        <f t="shared" si="6"/>
        <v>0</v>
      </c>
      <c r="AL6" s="1044">
        <f t="shared" si="6"/>
        <v>0</v>
      </c>
      <c r="AM6" s="1044">
        <f t="shared" si="6"/>
        <v>0</v>
      </c>
      <c r="AN6" s="1044">
        <f t="shared" si="6"/>
        <v>0</v>
      </c>
      <c r="AO6" s="1044">
        <f t="shared" si="6"/>
        <v>0</v>
      </c>
      <c r="AP6" s="1044">
        <f t="shared" si="6"/>
        <v>0</v>
      </c>
      <c r="AQ6" s="1044">
        <f t="shared" si="6"/>
        <v>0</v>
      </c>
      <c r="AR6" s="1044">
        <f t="shared" si="6"/>
        <v>0</v>
      </c>
      <c r="AS6" s="1044">
        <f t="shared" si="6"/>
        <v>-3427184145</v>
      </c>
    </row>
    <row r="7" spans="2:49" ht="15" customHeight="1" x14ac:dyDescent="0.3">
      <c r="B7" s="1921"/>
      <c r="C7" s="1886"/>
      <c r="D7" s="1045" t="s">
        <v>730</v>
      </c>
      <c r="E7" s="1046">
        <f>'3-4. 수입예산 성질별 총괄표(완료)'!F8</f>
        <v>940000000</v>
      </c>
      <c r="F7" s="1046">
        <f>'[1]3-4. 수입예산 성질별 총괄표'!G11</f>
        <v>21.57715972713202</v>
      </c>
      <c r="G7" s="1046">
        <f>'[1]3-4. 수입예산 성질별 총괄표'!H11</f>
        <v>8425280000</v>
      </c>
      <c r="H7" s="1046">
        <f>'[1]3-4. 수입예산 성질별 총괄표'!I11</f>
        <v>21.626820904968564</v>
      </c>
      <c r="I7" s="1046">
        <f>'[1]3-4. 수입예산 성질별 총괄표'!J11</f>
        <v>608300000</v>
      </c>
      <c r="J7" s="1046">
        <f>'[1]3-4. 수입예산 성질별 총괄표'!K11</f>
        <v>7.2199380910782791</v>
      </c>
      <c r="K7" s="1046">
        <f>'[1]3-4. 수입예산 성질별 총괄표'!L11</f>
        <v>0</v>
      </c>
      <c r="L7" s="1046">
        <f>'[1]3-4. 수입예산 성질별 총괄표'!M11</f>
        <v>0</v>
      </c>
      <c r="M7" s="1046">
        <f>'[1]3-4. 수입예산 성질별 총괄표'!N11</f>
        <v>0</v>
      </c>
      <c r="N7" s="1046">
        <f>'3-4. 수입예산 성질별 총괄표(완료)'!H8</f>
        <v>1050000000</v>
      </c>
      <c r="O7" s="1046"/>
      <c r="P7" s="1046"/>
      <c r="Q7" s="1046"/>
      <c r="R7" s="1046"/>
      <c r="S7" s="1046"/>
      <c r="T7" s="1046"/>
      <c r="U7" s="1046"/>
      <c r="V7" s="1046"/>
      <c r="W7" s="1047">
        <f t="shared" si="5"/>
        <v>-110000000</v>
      </c>
      <c r="X7" s="1032"/>
      <c r="Y7" s="1875"/>
      <c r="Z7" s="1048" t="s">
        <v>78</v>
      </c>
      <c r="AA7" s="1049">
        <f>'3-5.지출예산 성질별총괄표(완료)'!F8</f>
        <v>10495421913</v>
      </c>
      <c r="AB7" s="1049"/>
      <c r="AC7" s="1049"/>
      <c r="AD7" s="1049"/>
      <c r="AE7" s="1049"/>
      <c r="AF7" s="1049"/>
      <c r="AG7" s="1049"/>
      <c r="AH7" s="1049"/>
      <c r="AI7" s="1049"/>
      <c r="AJ7" s="1049">
        <f>'3-5.지출예산 성질별총괄표(완료)'!H8</f>
        <v>12222887892</v>
      </c>
      <c r="AK7" s="1050"/>
      <c r="AL7" s="1050"/>
      <c r="AM7" s="1050"/>
      <c r="AN7" s="1050"/>
      <c r="AO7" s="1050"/>
      <c r="AP7" s="1050"/>
      <c r="AQ7" s="1050"/>
      <c r="AR7" s="1050"/>
      <c r="AS7" s="1051">
        <f t="shared" ref="AS7:AS24" si="7">AA7-AJ7</f>
        <v>-1727465979</v>
      </c>
    </row>
    <row r="8" spans="2:49" ht="15" customHeight="1" x14ac:dyDescent="0.3">
      <c r="B8" s="1921"/>
      <c r="C8" s="1886"/>
      <c r="D8" s="1052" t="s">
        <v>752</v>
      </c>
      <c r="E8" s="1053"/>
      <c r="F8" s="1053"/>
      <c r="G8" s="1053"/>
      <c r="H8" s="1053"/>
      <c r="I8" s="1053"/>
      <c r="J8" s="1053"/>
      <c r="K8" s="1053"/>
      <c r="L8" s="1053"/>
      <c r="M8" s="1053"/>
      <c r="N8" s="1053"/>
      <c r="O8" s="1053"/>
      <c r="P8" s="1053"/>
      <c r="Q8" s="1053"/>
      <c r="R8" s="1053"/>
      <c r="S8" s="1053"/>
      <c r="T8" s="1053"/>
      <c r="U8" s="1053"/>
      <c r="V8" s="1053"/>
      <c r="W8" s="1054"/>
      <c r="X8" s="1032"/>
      <c r="Y8" s="1875"/>
      <c r="Z8" s="1055" t="s">
        <v>259</v>
      </c>
      <c r="AA8" s="1056">
        <f>'3-5.지출예산 성질별총괄표(완료)'!F11</f>
        <v>1036569000</v>
      </c>
      <c r="AB8" s="1056"/>
      <c r="AC8" s="1056"/>
      <c r="AD8" s="1056"/>
      <c r="AE8" s="1056"/>
      <c r="AF8" s="1056"/>
      <c r="AG8" s="1056"/>
      <c r="AH8" s="1056"/>
      <c r="AI8" s="1056"/>
      <c r="AJ8" s="1056">
        <f>'3-5.지출예산 성질별총괄표(완료)'!H11</f>
        <v>853779000</v>
      </c>
      <c r="AK8" s="1057"/>
      <c r="AL8" s="1057"/>
      <c r="AM8" s="1057"/>
      <c r="AN8" s="1057"/>
      <c r="AO8" s="1057"/>
      <c r="AP8" s="1057"/>
      <c r="AQ8" s="1057"/>
      <c r="AR8" s="1057"/>
      <c r="AS8" s="1058">
        <f t="shared" si="7"/>
        <v>182790000</v>
      </c>
      <c r="AU8" s="1059"/>
      <c r="AV8" s="1059"/>
      <c r="AW8" s="1059"/>
    </row>
    <row r="9" spans="2:49" ht="15" customHeight="1" x14ac:dyDescent="0.3">
      <c r="B9" s="1921"/>
      <c r="C9" s="1886" t="s">
        <v>251</v>
      </c>
      <c r="D9" s="1060" t="s">
        <v>52</v>
      </c>
      <c r="E9" s="1041">
        <f>SUM(E10:E11)</f>
        <v>300000000</v>
      </c>
      <c r="F9" s="1041">
        <f t="shared" ref="F9:V9" si="8">SUM(F10:F11)</f>
        <v>17.066303766266024</v>
      </c>
      <c r="G9" s="1041">
        <f t="shared" si="8"/>
        <v>8076283000</v>
      </c>
      <c r="H9" s="1041">
        <f t="shared" si="8"/>
        <v>20.730981761893045</v>
      </c>
      <c r="I9" s="1041">
        <f t="shared" si="8"/>
        <v>-931236000</v>
      </c>
      <c r="J9" s="1041">
        <f t="shared" si="8"/>
        <v>-14.75634503897332</v>
      </c>
      <c r="K9" s="1041">
        <f t="shared" si="8"/>
        <v>0</v>
      </c>
      <c r="L9" s="1041">
        <f t="shared" si="8"/>
        <v>7145047000</v>
      </c>
      <c r="M9" s="1041">
        <f t="shared" si="8"/>
        <v>0</v>
      </c>
      <c r="N9" s="1061">
        <f>SUM(N10:N11)</f>
        <v>735574000</v>
      </c>
      <c r="O9" s="1041">
        <f t="shared" si="8"/>
        <v>0</v>
      </c>
      <c r="P9" s="1041">
        <f t="shared" si="8"/>
        <v>0</v>
      </c>
      <c r="Q9" s="1041">
        <f t="shared" si="8"/>
        <v>0</v>
      </c>
      <c r="R9" s="1041">
        <f t="shared" si="8"/>
        <v>0</v>
      </c>
      <c r="S9" s="1041">
        <f t="shared" si="8"/>
        <v>0</v>
      </c>
      <c r="T9" s="1041">
        <f t="shared" si="8"/>
        <v>0</v>
      </c>
      <c r="U9" s="1041">
        <f t="shared" si="8"/>
        <v>0</v>
      </c>
      <c r="V9" s="1041">
        <f t="shared" si="8"/>
        <v>0</v>
      </c>
      <c r="W9" s="1042">
        <f t="shared" si="5"/>
        <v>-435574000</v>
      </c>
      <c r="X9" s="1032"/>
      <c r="Y9" s="1875"/>
      <c r="Z9" s="1055" t="s">
        <v>308</v>
      </c>
      <c r="AA9" s="1062">
        <f>'3-5.지출예산 성질별총괄표(완료)'!F12</f>
        <v>2809940000</v>
      </c>
      <c r="AB9" s="1062"/>
      <c r="AC9" s="1062"/>
      <c r="AD9" s="1062"/>
      <c r="AE9" s="1062"/>
      <c r="AF9" s="1062"/>
      <c r="AG9" s="1062"/>
      <c r="AH9" s="1062"/>
      <c r="AI9" s="1062"/>
      <c r="AJ9" s="1062">
        <f>'3-5.지출예산 성질별총괄표(완료)'!H12</f>
        <v>3088183000</v>
      </c>
      <c r="AK9" s="1050"/>
      <c r="AL9" s="1050"/>
      <c r="AM9" s="1050"/>
      <c r="AN9" s="1050"/>
      <c r="AO9" s="1050"/>
      <c r="AP9" s="1050"/>
      <c r="AQ9" s="1050"/>
      <c r="AR9" s="1050"/>
      <c r="AS9" s="1058">
        <f t="shared" si="7"/>
        <v>-278243000</v>
      </c>
      <c r="AU9" s="1059"/>
      <c r="AV9" s="1059"/>
      <c r="AW9" s="1059"/>
    </row>
    <row r="10" spans="2:49" ht="15" customHeight="1" x14ac:dyDescent="0.3">
      <c r="B10" s="1921"/>
      <c r="C10" s="1886"/>
      <c r="D10" s="1045" t="s">
        <v>737</v>
      </c>
      <c r="E10" s="1046">
        <f>'3-4. 수입예산 성질별 총괄표(완료)'!F12</f>
        <v>265000000</v>
      </c>
      <c r="F10" s="1046">
        <f>'[1]3-4. 수입예산 성질별 총괄표'!G15</f>
        <v>15.731426633290656</v>
      </c>
      <c r="G10" s="1046">
        <f>'[1]3-4. 수입예산 성질별 총괄표'!H15</f>
        <v>7502861000</v>
      </c>
      <c r="H10" s="1046">
        <f>'[1]3-4. 수입예산 성질별 총괄표'!I15</f>
        <v>19.259066894141601</v>
      </c>
      <c r="I10" s="1046">
        <f>'[1]3-4. 수입예산 성질별 총괄표'!J15</f>
        <v>-916679000</v>
      </c>
      <c r="J10" s="1046">
        <f>'[1]3-4. 수입예산 성질별 총괄표'!K15</f>
        <v>-12.217726011450832</v>
      </c>
      <c r="K10" s="1046">
        <f>'[1]3-4. 수입예산 성질별 총괄표'!L15</f>
        <v>0</v>
      </c>
      <c r="L10" s="1046">
        <f>'[1]3-4. 수입예산 성질별 총괄표'!M15</f>
        <v>6586182000</v>
      </c>
      <c r="M10" s="1046">
        <f>'[1]3-4. 수입예산 성질별 총괄표'!N15</f>
        <v>0</v>
      </c>
      <c r="N10" s="1046">
        <f>'3-4. 수입예산 성질별 총괄표(완료)'!H12</f>
        <v>569938000</v>
      </c>
      <c r="O10" s="1046"/>
      <c r="P10" s="1046"/>
      <c r="Q10" s="1046"/>
      <c r="R10" s="1046"/>
      <c r="S10" s="1046"/>
      <c r="T10" s="1046"/>
      <c r="U10" s="1046"/>
      <c r="V10" s="1046"/>
      <c r="W10" s="1047">
        <f t="shared" si="5"/>
        <v>-304938000</v>
      </c>
      <c r="X10" s="1032"/>
      <c r="Y10" s="1875"/>
      <c r="Z10" s="1055" t="s">
        <v>53</v>
      </c>
      <c r="AA10" s="1062">
        <f>'3-5.지출예산 성질별총괄표(완료)'!F19</f>
        <v>520360000</v>
      </c>
      <c r="AB10" s="1062"/>
      <c r="AC10" s="1062"/>
      <c r="AD10" s="1062"/>
      <c r="AE10" s="1062"/>
      <c r="AF10" s="1062"/>
      <c r="AG10" s="1062"/>
      <c r="AH10" s="1062"/>
      <c r="AI10" s="1062"/>
      <c r="AJ10" s="1062">
        <f>'3-5.지출예산 성질별총괄표(완료)'!H19</f>
        <v>440364000</v>
      </c>
      <c r="AK10" s="1050"/>
      <c r="AL10" s="1050"/>
      <c r="AM10" s="1050"/>
      <c r="AN10" s="1050"/>
      <c r="AO10" s="1050"/>
      <c r="AP10" s="1050"/>
      <c r="AQ10" s="1050"/>
      <c r="AR10" s="1050"/>
      <c r="AS10" s="1058">
        <f t="shared" si="7"/>
        <v>79996000</v>
      </c>
      <c r="AU10" s="1059"/>
      <c r="AV10" s="1059"/>
      <c r="AW10" s="1059"/>
    </row>
    <row r="11" spans="2:49" ht="15" customHeight="1" x14ac:dyDescent="0.3">
      <c r="B11" s="1921"/>
      <c r="C11" s="1886"/>
      <c r="D11" s="1052" t="s">
        <v>728</v>
      </c>
      <c r="E11" s="1053">
        <f>'3-4. 수입예산 성질별 총괄표(완료)'!F13</f>
        <v>35000000</v>
      </c>
      <c r="F11" s="1053">
        <f>'[1]3-4. 수입예산 성질별 총괄표'!G16</f>
        <v>1.3348771329753693</v>
      </c>
      <c r="G11" s="1053">
        <f>'[1]3-4. 수입예산 성질별 총괄표'!H16</f>
        <v>573422000</v>
      </c>
      <c r="H11" s="1053">
        <f>'[1]3-4. 수입예산 성질별 총괄표'!I16</f>
        <v>1.471914867751444</v>
      </c>
      <c r="I11" s="1053">
        <f>'[1]3-4. 수입예산 성질별 총괄표'!J16</f>
        <v>-14557000</v>
      </c>
      <c r="J11" s="1053">
        <f>'[1]3-4. 수입예산 성질별 총괄표'!K16</f>
        <v>-2.5386190275224876</v>
      </c>
      <c r="K11" s="1053">
        <f>'[1]3-4. 수입예산 성질별 총괄표'!L16</f>
        <v>0</v>
      </c>
      <c r="L11" s="1053">
        <f>'[1]3-4. 수입예산 성질별 총괄표'!M16</f>
        <v>558865000</v>
      </c>
      <c r="M11" s="1053">
        <f>'[1]3-4. 수입예산 성질별 총괄표'!N16</f>
        <v>0</v>
      </c>
      <c r="N11" s="1053">
        <f>'3-4. 수입예산 성질별 총괄표(완료)'!H13</f>
        <v>165636000</v>
      </c>
      <c r="O11" s="1053"/>
      <c r="P11" s="1053"/>
      <c r="Q11" s="1053"/>
      <c r="R11" s="1053"/>
      <c r="S11" s="1053"/>
      <c r="T11" s="1053"/>
      <c r="U11" s="1053"/>
      <c r="V11" s="1053"/>
      <c r="W11" s="1054">
        <f t="shared" si="5"/>
        <v>-130636000</v>
      </c>
      <c r="X11" s="1032"/>
      <c r="Y11" s="1875"/>
      <c r="Z11" s="1055" t="s">
        <v>252</v>
      </c>
      <c r="AA11" s="1062">
        <f>'3-5.지출예산 성질별총괄표(완료)'!F22</f>
        <v>71100000</v>
      </c>
      <c r="AB11" s="1062"/>
      <c r="AC11" s="1062"/>
      <c r="AD11" s="1062"/>
      <c r="AE11" s="1062"/>
      <c r="AF11" s="1062"/>
      <c r="AG11" s="1062"/>
      <c r="AH11" s="1062"/>
      <c r="AI11" s="1062"/>
      <c r="AJ11" s="1062">
        <f>'3-5.지출예산 성질별총괄표(완료)'!H22</f>
        <v>72600000</v>
      </c>
      <c r="AK11" s="1050"/>
      <c r="AL11" s="1050"/>
      <c r="AM11" s="1050"/>
      <c r="AN11" s="1050"/>
      <c r="AO11" s="1050"/>
      <c r="AP11" s="1050"/>
      <c r="AQ11" s="1050"/>
      <c r="AR11" s="1050"/>
      <c r="AS11" s="1058">
        <f t="shared" si="7"/>
        <v>-1500000</v>
      </c>
      <c r="AU11" s="1059"/>
      <c r="AV11" s="1059"/>
      <c r="AW11" s="1059"/>
    </row>
    <row r="12" spans="2:49" ht="15" customHeight="1" x14ac:dyDescent="0.3">
      <c r="B12" s="1921"/>
      <c r="C12" s="1886" t="s">
        <v>246</v>
      </c>
      <c r="D12" s="1063" t="s">
        <v>52</v>
      </c>
      <c r="E12" s="1064">
        <f>SUM(E13:E15)</f>
        <v>0</v>
      </c>
      <c r="F12" s="1065">
        <f t="shared" ref="F12:M12" si="9">SUM(F14:F15)</f>
        <v>1.7914126841572238</v>
      </c>
      <c r="G12" s="1066">
        <f t="shared" si="9"/>
        <v>574000000</v>
      </c>
      <c r="H12" s="1066">
        <f t="shared" si="9"/>
        <v>1.4733985338709168</v>
      </c>
      <c r="I12" s="1066">
        <f t="shared" si="9"/>
        <v>176000000</v>
      </c>
      <c r="J12" s="1066" t="e">
        <f t="shared" si="9"/>
        <v>#DIV/0!</v>
      </c>
      <c r="K12" s="1066" t="e">
        <f t="shared" si="9"/>
        <v>#REF!</v>
      </c>
      <c r="L12" s="1066" t="e">
        <f t="shared" si="9"/>
        <v>#REF!</v>
      </c>
      <c r="M12" s="1066">
        <f t="shared" si="9"/>
        <v>0</v>
      </c>
      <c r="N12" s="1067">
        <f>SUM(N13:N15)</f>
        <v>0</v>
      </c>
      <c r="O12" s="1066"/>
      <c r="P12" s="1066"/>
      <c r="Q12" s="1066"/>
      <c r="R12" s="1066"/>
      <c r="S12" s="1066"/>
      <c r="T12" s="1066"/>
      <c r="U12" s="1066"/>
      <c r="V12" s="1066"/>
      <c r="W12" s="1068">
        <f t="shared" si="5"/>
        <v>0</v>
      </c>
      <c r="X12" s="1032"/>
      <c r="Y12" s="1875"/>
      <c r="Z12" s="1055" t="s">
        <v>295</v>
      </c>
      <c r="AA12" s="1062">
        <f>'3-5.지출예산 성질별총괄표(완료)'!F24</f>
        <v>78480000</v>
      </c>
      <c r="AB12" s="1062"/>
      <c r="AC12" s="1062"/>
      <c r="AD12" s="1062"/>
      <c r="AE12" s="1062"/>
      <c r="AF12" s="1062"/>
      <c r="AG12" s="1062"/>
      <c r="AH12" s="1062"/>
      <c r="AI12" s="1062"/>
      <c r="AJ12" s="1062">
        <f>'3-5.지출예산 성질별총괄표(완료)'!H24</f>
        <v>86160000</v>
      </c>
      <c r="AK12" s="1050"/>
      <c r="AL12" s="1050"/>
      <c r="AM12" s="1050"/>
      <c r="AN12" s="1050"/>
      <c r="AO12" s="1050"/>
      <c r="AP12" s="1050"/>
      <c r="AQ12" s="1050"/>
      <c r="AR12" s="1050"/>
      <c r="AS12" s="1058">
        <f t="shared" si="7"/>
        <v>-7680000</v>
      </c>
      <c r="AU12" s="1059"/>
      <c r="AV12" s="1059"/>
      <c r="AW12" s="1059"/>
    </row>
    <row r="13" spans="2:49" ht="15" customHeight="1" x14ac:dyDescent="0.3">
      <c r="B13" s="1921"/>
      <c r="C13" s="1886"/>
      <c r="D13" s="1045" t="s">
        <v>757</v>
      </c>
      <c r="E13" s="1069"/>
      <c r="F13" s="1070"/>
      <c r="G13" s="1070"/>
      <c r="H13" s="1070"/>
      <c r="I13" s="1070"/>
      <c r="J13" s="1070"/>
      <c r="K13" s="1070"/>
      <c r="L13" s="1070"/>
      <c r="M13" s="1070"/>
      <c r="N13" s="1070"/>
      <c r="O13" s="1071"/>
      <c r="P13" s="1053"/>
      <c r="Q13" s="1053"/>
      <c r="R13" s="1053"/>
      <c r="S13" s="1053"/>
      <c r="T13" s="1053"/>
      <c r="U13" s="1053"/>
      <c r="V13" s="1053"/>
      <c r="W13" s="1054"/>
      <c r="X13" s="1032"/>
      <c r="Y13" s="1875"/>
      <c r="Z13" s="1055" t="s">
        <v>118</v>
      </c>
      <c r="AA13" s="1062">
        <f>'3-5.지출예산 성질별총괄표(완료)'!F27</f>
        <v>435450000</v>
      </c>
      <c r="AB13" s="1062"/>
      <c r="AC13" s="1062"/>
      <c r="AD13" s="1062"/>
      <c r="AE13" s="1062"/>
      <c r="AF13" s="1062"/>
      <c r="AG13" s="1062"/>
      <c r="AH13" s="1062"/>
      <c r="AI13" s="1062"/>
      <c r="AJ13" s="1062">
        <f>'3-5.지출예산 성질별총괄표(완료)'!H27</f>
        <v>639650000</v>
      </c>
      <c r="AK13" s="1050"/>
      <c r="AL13" s="1050"/>
      <c r="AM13" s="1050"/>
      <c r="AN13" s="1050"/>
      <c r="AO13" s="1050"/>
      <c r="AP13" s="1050"/>
      <c r="AQ13" s="1050"/>
      <c r="AR13" s="1050"/>
      <c r="AS13" s="1058">
        <f t="shared" si="7"/>
        <v>-204200000</v>
      </c>
      <c r="AU13" s="1059"/>
      <c r="AV13" s="1059"/>
      <c r="AW13" s="1059"/>
    </row>
    <row r="14" spans="2:49" ht="15" customHeight="1" x14ac:dyDescent="0.3">
      <c r="B14" s="1921"/>
      <c r="C14" s="1886"/>
      <c r="D14" s="1052" t="s">
        <v>741</v>
      </c>
      <c r="E14" s="1072">
        <f>'3-4. 수입예산 성질별 총괄표(완료)'!F16</f>
        <v>0</v>
      </c>
      <c r="F14" s="1073">
        <f>'[1]3-4. 수입예산 성질별 총괄표'!G19</f>
        <v>1.7914126841572238</v>
      </c>
      <c r="G14" s="1074">
        <f>'[1]3-4. 수입예산 성질별 총괄표'!H19</f>
        <v>574000000</v>
      </c>
      <c r="H14" s="1074">
        <f>'[1]3-4. 수입예산 성질별 총괄표'!I19</f>
        <v>1.4733985338709168</v>
      </c>
      <c r="I14" s="1074">
        <f>'[1]3-4. 수입예산 성질별 총괄표'!J19</f>
        <v>176000000</v>
      </c>
      <c r="J14" s="1074">
        <f>'[1]3-4. 수입예산 성질별 총괄표'!K19</f>
        <v>30.662020905923342</v>
      </c>
      <c r="K14" s="1074" t="e">
        <f>'[1]3-4. 수입예산 성질별 총괄표'!#REF!</f>
        <v>#REF!</v>
      </c>
      <c r="L14" s="1074" t="e">
        <f>'[1]3-4. 수입예산 성질별 총괄표'!#REF!</f>
        <v>#REF!</v>
      </c>
      <c r="M14" s="1074">
        <f>'[1]3-4. 수입예산 성질별 총괄표'!L19</f>
        <v>0</v>
      </c>
      <c r="N14" s="1074">
        <f>'3-4. 수입예산 성질별 총괄표(완료)'!H16</f>
        <v>0</v>
      </c>
      <c r="O14" s="1075"/>
      <c r="P14" s="1046"/>
      <c r="Q14" s="1046"/>
      <c r="R14" s="1046"/>
      <c r="S14" s="1046"/>
      <c r="T14" s="1046"/>
      <c r="U14" s="1046"/>
      <c r="V14" s="1046"/>
      <c r="W14" s="1054">
        <f t="shared" si="5"/>
        <v>0</v>
      </c>
      <c r="X14" s="1032"/>
      <c r="Y14" s="1875"/>
      <c r="Z14" s="1055" t="s">
        <v>361</v>
      </c>
      <c r="AA14" s="1062">
        <f>'3-5.지출예산 성질별총괄표(완료)'!F29</f>
        <v>964619000</v>
      </c>
      <c r="AB14" s="1062"/>
      <c r="AC14" s="1062"/>
      <c r="AD14" s="1062"/>
      <c r="AE14" s="1062"/>
      <c r="AF14" s="1062"/>
      <c r="AG14" s="1062"/>
      <c r="AH14" s="1062"/>
      <c r="AI14" s="1062"/>
      <c r="AJ14" s="1062">
        <f>'3-5.지출예산 성질별총괄표(완료)'!H29</f>
        <v>1398835000</v>
      </c>
      <c r="AK14" s="1050"/>
      <c r="AL14" s="1050"/>
      <c r="AM14" s="1050"/>
      <c r="AN14" s="1050"/>
      <c r="AO14" s="1050"/>
      <c r="AP14" s="1050"/>
      <c r="AQ14" s="1050"/>
      <c r="AR14" s="1050"/>
      <c r="AS14" s="1058">
        <f t="shared" si="7"/>
        <v>-434216000</v>
      </c>
      <c r="AU14" s="1059"/>
      <c r="AV14" s="1059"/>
      <c r="AW14" s="1059"/>
    </row>
    <row r="15" spans="2:49" ht="15" customHeight="1" x14ac:dyDescent="0.3">
      <c r="B15" s="1921"/>
      <c r="C15" s="1927"/>
      <c r="D15" s="1052" t="s">
        <v>750</v>
      </c>
      <c r="E15" s="1076">
        <f>'3-4. 수입예산 성질별 총괄표(완료)'!F17</f>
        <v>0</v>
      </c>
      <c r="F15" s="1073">
        <f>'[1]3-4. 수입예산 성질별 총괄표'!G20</f>
        <v>0</v>
      </c>
      <c r="G15" s="1074">
        <f>'[1]3-4. 수입예산 성질별 총괄표'!H20</f>
        <v>0</v>
      </c>
      <c r="H15" s="1074">
        <f>'[1]3-4. 수입예산 성질별 총괄표'!I20</f>
        <v>0</v>
      </c>
      <c r="I15" s="1074">
        <f>'[1]3-4. 수입예산 성질별 총괄표'!J20</f>
        <v>0</v>
      </c>
      <c r="J15" s="1074" t="e">
        <f>'[1]3-4. 수입예산 성질별 총괄표'!K20</f>
        <v>#DIV/0!</v>
      </c>
      <c r="K15" s="1074" t="e">
        <f>'[1]3-4. 수입예산 성질별 총괄표'!#REF!</f>
        <v>#REF!</v>
      </c>
      <c r="L15" s="1074" t="e">
        <f>'[1]3-4. 수입예산 성질별 총괄표'!#REF!</f>
        <v>#REF!</v>
      </c>
      <c r="M15" s="1074">
        <f>'[1]3-4. 수입예산 성질별 총괄표'!L20</f>
        <v>0</v>
      </c>
      <c r="N15" s="1074">
        <f>'3-4. 수입예산 성질별 총괄표(완료)'!H17</f>
        <v>0</v>
      </c>
      <c r="O15" s="1071"/>
      <c r="P15" s="1053"/>
      <c r="Q15" s="1053"/>
      <c r="R15" s="1053"/>
      <c r="S15" s="1053"/>
      <c r="T15" s="1053"/>
      <c r="U15" s="1053"/>
      <c r="V15" s="1053"/>
      <c r="W15" s="1054">
        <f t="shared" si="5"/>
        <v>0</v>
      </c>
      <c r="X15" s="1032"/>
      <c r="Y15" s="1875"/>
      <c r="Z15" s="1055" t="s">
        <v>183</v>
      </c>
      <c r="AA15" s="1062">
        <f>'3-5.지출예산 성질별총괄표(완료)'!F33</f>
        <v>176250000</v>
      </c>
      <c r="AB15" s="1062"/>
      <c r="AC15" s="1062"/>
      <c r="AD15" s="1062"/>
      <c r="AE15" s="1062"/>
      <c r="AF15" s="1062"/>
      <c r="AG15" s="1062"/>
      <c r="AH15" s="1062"/>
      <c r="AI15" s="1062"/>
      <c r="AJ15" s="1062">
        <f>'3-5.지출예산 성질별총괄표(완료)'!H33</f>
        <v>342416000</v>
      </c>
      <c r="AK15" s="1050"/>
      <c r="AL15" s="1050"/>
      <c r="AM15" s="1050"/>
      <c r="AN15" s="1050"/>
      <c r="AO15" s="1050"/>
      <c r="AP15" s="1050"/>
      <c r="AQ15" s="1050"/>
      <c r="AR15" s="1050"/>
      <c r="AS15" s="1058">
        <f t="shared" si="7"/>
        <v>-166166000</v>
      </c>
      <c r="AU15" s="1059"/>
      <c r="AV15" s="1059"/>
      <c r="AW15" s="1059"/>
    </row>
    <row r="16" spans="2:49" ht="15" customHeight="1" x14ac:dyDescent="0.3">
      <c r="B16" s="1921"/>
      <c r="C16" s="1886" t="s">
        <v>305</v>
      </c>
      <c r="D16" s="1063" t="s">
        <v>52</v>
      </c>
      <c r="E16" s="1066">
        <f t="shared" ref="E16:W16" si="10">SUM(E17:E19)</f>
        <v>100000000</v>
      </c>
      <c r="F16" s="1066">
        <f t="shared" si="10"/>
        <v>14.960923317982916</v>
      </c>
      <c r="G16" s="1066">
        <f t="shared" si="10"/>
        <v>5387709000</v>
      </c>
      <c r="H16" s="1066">
        <f t="shared" si="10"/>
        <v>13.829690838890492</v>
      </c>
      <c r="I16" s="1066">
        <f t="shared" si="10"/>
        <v>875891000</v>
      </c>
      <c r="J16" s="1066">
        <f t="shared" si="10"/>
        <v>16.257206912994</v>
      </c>
      <c r="K16" s="1066" t="e">
        <f t="shared" si="10"/>
        <v>#REF!</v>
      </c>
      <c r="L16" s="1066" t="e">
        <f t="shared" si="10"/>
        <v>#REF!</v>
      </c>
      <c r="M16" s="1066">
        <f t="shared" si="10"/>
        <v>0</v>
      </c>
      <c r="N16" s="1077">
        <f>SUM(N17:N19)</f>
        <v>100000000</v>
      </c>
      <c r="O16" s="1066">
        <f t="shared" si="10"/>
        <v>0</v>
      </c>
      <c r="P16" s="1066">
        <f t="shared" si="10"/>
        <v>0</v>
      </c>
      <c r="Q16" s="1066">
        <f t="shared" si="10"/>
        <v>0</v>
      </c>
      <c r="R16" s="1066">
        <f t="shared" si="10"/>
        <v>0</v>
      </c>
      <c r="S16" s="1066">
        <f t="shared" si="10"/>
        <v>0</v>
      </c>
      <c r="T16" s="1066">
        <f t="shared" si="10"/>
        <v>0</v>
      </c>
      <c r="U16" s="1066">
        <f t="shared" si="10"/>
        <v>0</v>
      </c>
      <c r="V16" s="1066">
        <f t="shared" si="10"/>
        <v>0</v>
      </c>
      <c r="W16" s="1068">
        <f t="shared" si="10"/>
        <v>0</v>
      </c>
      <c r="X16" s="1032"/>
      <c r="Y16" s="1875"/>
      <c r="Z16" s="1055" t="s">
        <v>286</v>
      </c>
      <c r="AA16" s="1062">
        <f>'3-5.지출예산 성질별총괄표(완료)'!F34</f>
        <v>1307423494</v>
      </c>
      <c r="AB16" s="1062"/>
      <c r="AC16" s="1062"/>
      <c r="AD16" s="1062"/>
      <c r="AE16" s="1062"/>
      <c r="AF16" s="1062"/>
      <c r="AG16" s="1062"/>
      <c r="AH16" s="1062"/>
      <c r="AI16" s="1062"/>
      <c r="AJ16" s="1062">
        <f>'3-5.지출예산 성질별총괄표(완료)'!H34</f>
        <v>1127200000</v>
      </c>
      <c r="AK16" s="1050"/>
      <c r="AL16" s="1050"/>
      <c r="AM16" s="1050"/>
      <c r="AN16" s="1050"/>
      <c r="AO16" s="1050"/>
      <c r="AP16" s="1050"/>
      <c r="AQ16" s="1050"/>
      <c r="AR16" s="1050"/>
      <c r="AS16" s="1058">
        <f t="shared" si="7"/>
        <v>180223494</v>
      </c>
      <c r="AV16" s="1078"/>
    </row>
    <row r="17" spans="2:50" ht="15" customHeight="1" x14ac:dyDescent="0.3">
      <c r="B17" s="1921"/>
      <c r="C17" s="1886"/>
      <c r="D17" s="1079" t="s">
        <v>749</v>
      </c>
      <c r="E17" s="1046"/>
      <c r="F17" s="1046"/>
      <c r="G17" s="1046"/>
      <c r="H17" s="1046"/>
      <c r="I17" s="1046"/>
      <c r="J17" s="1046"/>
      <c r="K17" s="1046"/>
      <c r="L17" s="1046"/>
      <c r="M17" s="1046"/>
      <c r="N17" s="1046"/>
      <c r="O17" s="1046"/>
      <c r="P17" s="1046"/>
      <c r="Q17" s="1046"/>
      <c r="R17" s="1046"/>
      <c r="S17" s="1046"/>
      <c r="T17" s="1046"/>
      <c r="U17" s="1046"/>
      <c r="V17" s="1046"/>
      <c r="W17" s="1047"/>
      <c r="X17" s="1032"/>
      <c r="Y17" s="1875"/>
      <c r="Z17" s="1055" t="s">
        <v>108</v>
      </c>
      <c r="AA17" s="1062">
        <f>'3-5.지출예산 성질별총괄표(완료)'!F36</f>
        <v>3127162000</v>
      </c>
      <c r="AB17" s="1062"/>
      <c r="AC17" s="1062"/>
      <c r="AD17" s="1062"/>
      <c r="AE17" s="1062"/>
      <c r="AF17" s="1062"/>
      <c r="AG17" s="1062"/>
      <c r="AH17" s="1062"/>
      <c r="AI17" s="1062"/>
      <c r="AJ17" s="1062">
        <f>'3-5.지출예산 성질별총괄표(완료)'!H36</f>
        <v>3091800000</v>
      </c>
      <c r="AK17" s="1050"/>
      <c r="AL17" s="1050"/>
      <c r="AM17" s="1050"/>
      <c r="AN17" s="1050"/>
      <c r="AO17" s="1050"/>
      <c r="AP17" s="1050"/>
      <c r="AQ17" s="1050"/>
      <c r="AR17" s="1050"/>
      <c r="AS17" s="1058">
        <f t="shared" si="7"/>
        <v>35362000</v>
      </c>
    </row>
    <row r="18" spans="2:50" ht="15" customHeight="1" x14ac:dyDescent="0.3">
      <c r="B18" s="1921"/>
      <c r="C18" s="1886"/>
      <c r="D18" s="1080" t="s">
        <v>605</v>
      </c>
      <c r="E18" s="1053">
        <f>'3-4. 수입예산 성질별 총괄표(완료)'!F21</f>
        <v>100000000</v>
      </c>
      <c r="F18" s="1053">
        <f>'[1]3-4. 수입예산 성질별 총괄표'!G24</f>
        <v>14.960923317982916</v>
      </c>
      <c r="G18" s="1053">
        <f>'[1]3-4. 수입예산 성질별 총괄표'!H24</f>
        <v>5387709000</v>
      </c>
      <c r="H18" s="1053">
        <f>'[1]3-4. 수입예산 성질별 총괄표'!I24</f>
        <v>13.829690838890492</v>
      </c>
      <c r="I18" s="1053">
        <f>'[1]3-4. 수입예산 성질별 총괄표'!J24</f>
        <v>875891000</v>
      </c>
      <c r="J18" s="1053">
        <f>'[1]3-4. 수입예산 성질별 총괄표'!K24</f>
        <v>16.257206912994</v>
      </c>
      <c r="K18" s="1053" t="e">
        <f>'[1]3-4. 수입예산 성질별 총괄표'!#REF!</f>
        <v>#REF!</v>
      </c>
      <c r="L18" s="1053" t="e">
        <f>'[1]3-4. 수입예산 성질별 총괄표'!#REF!</f>
        <v>#REF!</v>
      </c>
      <c r="M18" s="1053">
        <f>'[1]3-4. 수입예산 성질별 총괄표'!L24</f>
        <v>0</v>
      </c>
      <c r="N18" s="1053">
        <f>'3-4. 수입예산 성질별 총괄표(완료)'!H21</f>
        <v>100000000</v>
      </c>
      <c r="O18" s="1053"/>
      <c r="P18" s="1053"/>
      <c r="Q18" s="1053"/>
      <c r="R18" s="1053"/>
      <c r="S18" s="1053"/>
      <c r="T18" s="1053"/>
      <c r="U18" s="1053"/>
      <c r="V18" s="1053"/>
      <c r="W18" s="1054">
        <f>E18-N18</f>
        <v>0</v>
      </c>
      <c r="X18" s="1032"/>
      <c r="Y18" s="1875"/>
      <c r="Z18" s="1055" t="s">
        <v>328</v>
      </c>
      <c r="AA18" s="1062">
        <f>'3-5.지출예산 성질별총괄표(완료)'!F37</f>
        <v>43140000</v>
      </c>
      <c r="AB18" s="1062"/>
      <c r="AC18" s="1062"/>
      <c r="AD18" s="1062"/>
      <c r="AE18" s="1062"/>
      <c r="AF18" s="1062"/>
      <c r="AG18" s="1062"/>
      <c r="AH18" s="1062"/>
      <c r="AI18" s="1062"/>
      <c r="AJ18" s="1062">
        <f>'3-5.지출예산 성질별총괄표(완료)'!H37</f>
        <v>44630000</v>
      </c>
      <c r="AK18" s="1050"/>
      <c r="AL18" s="1050"/>
      <c r="AM18" s="1050"/>
      <c r="AN18" s="1050"/>
      <c r="AO18" s="1050"/>
      <c r="AP18" s="1050"/>
      <c r="AQ18" s="1050"/>
      <c r="AR18" s="1050"/>
      <c r="AS18" s="1058">
        <f t="shared" si="7"/>
        <v>-1490000</v>
      </c>
    </row>
    <row r="19" spans="2:50" ht="15" customHeight="1" x14ac:dyDescent="0.3">
      <c r="B19" s="1921"/>
      <c r="C19" s="1927"/>
      <c r="D19" s="1080" t="s">
        <v>743</v>
      </c>
      <c r="E19" s="1053"/>
      <c r="F19" s="1053"/>
      <c r="G19" s="1053"/>
      <c r="H19" s="1053"/>
      <c r="I19" s="1053"/>
      <c r="J19" s="1053"/>
      <c r="K19" s="1053"/>
      <c r="L19" s="1053"/>
      <c r="M19" s="1053"/>
      <c r="N19" s="1053"/>
      <c r="O19" s="1053"/>
      <c r="P19" s="1053"/>
      <c r="Q19" s="1053"/>
      <c r="R19" s="1053"/>
      <c r="S19" s="1053"/>
      <c r="T19" s="1053"/>
      <c r="U19" s="1053"/>
      <c r="V19" s="1053"/>
      <c r="W19" s="1054"/>
      <c r="X19" s="1032"/>
      <c r="Y19" s="1875"/>
      <c r="Z19" s="1055" t="s">
        <v>126</v>
      </c>
      <c r="AA19" s="1062">
        <f>'3-5.지출예산 성질별총괄표(완료)'!F40</f>
        <v>1097405000</v>
      </c>
      <c r="AB19" s="1062"/>
      <c r="AC19" s="1062"/>
      <c r="AD19" s="1062"/>
      <c r="AE19" s="1062"/>
      <c r="AF19" s="1062"/>
      <c r="AG19" s="1062"/>
      <c r="AH19" s="1062"/>
      <c r="AI19" s="1062"/>
      <c r="AJ19" s="1062">
        <f>'3-5.지출예산 성질별총괄표(완료)'!H40</f>
        <v>1176999500</v>
      </c>
      <c r="AK19" s="1050"/>
      <c r="AL19" s="1050"/>
      <c r="AM19" s="1050"/>
      <c r="AN19" s="1050"/>
      <c r="AO19" s="1050"/>
      <c r="AP19" s="1050"/>
      <c r="AQ19" s="1050"/>
      <c r="AR19" s="1050"/>
      <c r="AS19" s="1058">
        <f t="shared" si="7"/>
        <v>-79594500</v>
      </c>
    </row>
    <row r="20" spans="2:50" ht="15" customHeight="1" x14ac:dyDescent="0.3">
      <c r="B20" s="1922"/>
      <c r="C20" s="1081" t="s">
        <v>751</v>
      </c>
      <c r="D20" s="1082" t="s">
        <v>763</v>
      </c>
      <c r="E20" s="1083">
        <f>'3-4. 수입예산 성질별 총괄표(완료)'!F26</f>
        <v>0</v>
      </c>
      <c r="F20" s="1083"/>
      <c r="G20" s="1083"/>
      <c r="H20" s="1083"/>
      <c r="I20" s="1083"/>
      <c r="J20" s="1083"/>
      <c r="K20" s="1083"/>
      <c r="L20" s="1083"/>
      <c r="M20" s="1083"/>
      <c r="N20" s="1083">
        <f>'3-4. 수입예산 성질별 총괄표(완료)'!H26</f>
        <v>0</v>
      </c>
      <c r="O20" s="1083"/>
      <c r="P20" s="1083"/>
      <c r="Q20" s="1083"/>
      <c r="R20" s="1083"/>
      <c r="S20" s="1083"/>
      <c r="T20" s="1083"/>
      <c r="U20" s="1083"/>
      <c r="V20" s="1083"/>
      <c r="W20" s="1084">
        <f>E20-N20</f>
        <v>0</v>
      </c>
      <c r="X20" s="1032"/>
      <c r="Y20" s="1875"/>
      <c r="Z20" s="1055" t="s">
        <v>201</v>
      </c>
      <c r="AA20" s="1062">
        <f>'3-5.지출예산 성질별총괄표(완료)'!F41</f>
        <v>677656000</v>
      </c>
      <c r="AB20" s="1062"/>
      <c r="AC20" s="1062"/>
      <c r="AD20" s="1062"/>
      <c r="AE20" s="1062"/>
      <c r="AF20" s="1062"/>
      <c r="AG20" s="1062"/>
      <c r="AH20" s="1062"/>
      <c r="AI20" s="1062"/>
      <c r="AJ20" s="1062">
        <f>'3-5.지출예산 성질별총괄표(완료)'!H41</f>
        <v>1058334000</v>
      </c>
      <c r="AK20" s="1050"/>
      <c r="AL20" s="1050"/>
      <c r="AM20" s="1050"/>
      <c r="AN20" s="1050"/>
      <c r="AO20" s="1050"/>
      <c r="AP20" s="1050"/>
      <c r="AQ20" s="1050"/>
      <c r="AR20" s="1050"/>
      <c r="AS20" s="1058">
        <f t="shared" si="7"/>
        <v>-380678000</v>
      </c>
    </row>
    <row r="21" spans="2:50" ht="15" customHeight="1" x14ac:dyDescent="0.3">
      <c r="B21" s="1878" t="s">
        <v>284</v>
      </c>
      <c r="C21" s="1881" t="s">
        <v>288</v>
      </c>
      <c r="D21" s="1882"/>
      <c r="E21" s="1083">
        <f>SUM(E22:E23)</f>
        <v>0</v>
      </c>
      <c r="F21" s="1083">
        <f t="shared" ref="F21:W21" si="11">SUM(F22:F23)</f>
        <v>2.6497549347448071</v>
      </c>
      <c r="G21" s="1083">
        <f t="shared" si="11"/>
        <v>225600000</v>
      </c>
      <c r="H21" s="1083">
        <f t="shared" si="11"/>
        <v>0.57909182794647873</v>
      </c>
      <c r="I21" s="1083">
        <f t="shared" si="11"/>
        <v>883757000</v>
      </c>
      <c r="J21" s="1083">
        <f t="shared" si="11"/>
        <v>571.69493970307803</v>
      </c>
      <c r="K21" s="1083" t="e">
        <f t="shared" si="11"/>
        <v>#REF!</v>
      </c>
      <c r="L21" s="1083" t="e">
        <f t="shared" si="11"/>
        <v>#REF!</v>
      </c>
      <c r="M21" s="1083">
        <f t="shared" si="11"/>
        <v>0</v>
      </c>
      <c r="N21" s="1083">
        <f t="shared" si="11"/>
        <v>0</v>
      </c>
      <c r="O21" s="1083" t="e">
        <f t="shared" si="11"/>
        <v>#REF!</v>
      </c>
      <c r="P21" s="1083" t="e">
        <f t="shared" si="11"/>
        <v>#REF!</v>
      </c>
      <c r="Q21" s="1083" t="e">
        <f t="shared" si="11"/>
        <v>#REF!</v>
      </c>
      <c r="R21" s="1083" t="e">
        <f t="shared" si="11"/>
        <v>#REF!</v>
      </c>
      <c r="S21" s="1083" t="e">
        <f t="shared" si="11"/>
        <v>#REF!</v>
      </c>
      <c r="T21" s="1083" t="e">
        <f t="shared" si="11"/>
        <v>#REF!</v>
      </c>
      <c r="U21" s="1083" t="e">
        <f t="shared" si="11"/>
        <v>#REF!</v>
      </c>
      <c r="V21" s="1083" t="e">
        <f t="shared" si="11"/>
        <v>#REF!</v>
      </c>
      <c r="W21" s="1084">
        <f t="shared" si="11"/>
        <v>0</v>
      </c>
      <c r="X21" s="1032"/>
      <c r="Y21" s="1875"/>
      <c r="Z21" s="1055" t="s">
        <v>321</v>
      </c>
      <c r="AA21" s="1062">
        <f>'3-5.지출예산 성질별총괄표(완료)'!F42</f>
        <v>9680000</v>
      </c>
      <c r="AB21" s="1062"/>
      <c r="AC21" s="1062"/>
      <c r="AD21" s="1062"/>
      <c r="AE21" s="1062"/>
      <c r="AF21" s="1062"/>
      <c r="AG21" s="1062"/>
      <c r="AH21" s="1062"/>
      <c r="AI21" s="1062"/>
      <c r="AJ21" s="1062">
        <f>'3-5.지출예산 성질별총괄표(완료)'!H42</f>
        <v>0</v>
      </c>
      <c r="AK21" s="1050"/>
      <c r="AL21" s="1050"/>
      <c r="AM21" s="1050"/>
      <c r="AN21" s="1050"/>
      <c r="AO21" s="1050"/>
      <c r="AP21" s="1050"/>
      <c r="AQ21" s="1050"/>
      <c r="AR21" s="1050"/>
      <c r="AS21" s="1058">
        <f t="shared" si="7"/>
        <v>9680000</v>
      </c>
    </row>
    <row r="22" spans="2:50" ht="15" customHeight="1" x14ac:dyDescent="0.3">
      <c r="B22" s="1879"/>
      <c r="C22" s="1085" t="s">
        <v>283</v>
      </c>
      <c r="D22" s="1045" t="s">
        <v>167</v>
      </c>
      <c r="E22" s="1053">
        <f>'3-4. 수입예산 성질별 총괄표(완료)'!F29</f>
        <v>0</v>
      </c>
      <c r="F22" s="1053">
        <f>'[1]3-4. 수입예산 성질별 총괄표'!G32</f>
        <v>0.19538341008541454</v>
      </c>
      <c r="G22" s="1053">
        <f>'[1]3-4. 수입예산 성질별 총괄표'!H32</f>
        <v>35300000</v>
      </c>
      <c r="H22" s="1053">
        <f>'[1]3-4. 수입예산 성질별 총괄표'!I32</f>
        <v>9.0611442936660902E-2</v>
      </c>
      <c r="I22" s="1053">
        <f>'[1]3-4. 수입예산 성질별 총괄표'!J32</f>
        <v>46500000</v>
      </c>
      <c r="J22" s="1053">
        <f>'[1]3-4. 수입예산 성질별 총괄표'!K32</f>
        <v>131.72804532577905</v>
      </c>
      <c r="K22" s="1053" t="e">
        <f>'[1]3-4. 수입예산 성질별 총괄표'!#REF!</f>
        <v>#REF!</v>
      </c>
      <c r="L22" s="1053" t="e">
        <f>'[1]3-4. 수입예산 성질별 총괄표'!#REF!</f>
        <v>#REF!</v>
      </c>
      <c r="M22" s="1053">
        <f>'[1]3-4. 수입예산 성질별 총괄표'!L32</f>
        <v>0</v>
      </c>
      <c r="N22" s="1053">
        <f>'3-4. 수입예산 성질별 총괄표(완료)'!H29</f>
        <v>0</v>
      </c>
      <c r="O22" s="1053"/>
      <c r="P22" s="1053"/>
      <c r="Q22" s="1053"/>
      <c r="R22" s="1053"/>
      <c r="S22" s="1053"/>
      <c r="T22" s="1053"/>
      <c r="U22" s="1053"/>
      <c r="V22" s="1053"/>
      <c r="W22" s="1054">
        <f t="shared" ref="W22:W27" si="12">E22-N22</f>
        <v>0</v>
      </c>
      <c r="X22" s="1032"/>
      <c r="Y22" s="1875"/>
      <c r="Z22" s="1055" t="s">
        <v>68</v>
      </c>
      <c r="AA22" s="1062">
        <f>'3-5.지출예산 성질별총괄표(완료)'!F45</f>
        <v>129250000</v>
      </c>
      <c r="AB22" s="1062"/>
      <c r="AC22" s="1062"/>
      <c r="AD22" s="1062"/>
      <c r="AE22" s="1062"/>
      <c r="AF22" s="1062"/>
      <c r="AG22" s="1062"/>
      <c r="AH22" s="1062"/>
      <c r="AI22" s="1062"/>
      <c r="AJ22" s="1062">
        <f>'3-5.지출예산 성질별총괄표(완료)'!H45</f>
        <v>90000000</v>
      </c>
      <c r="AK22" s="1050"/>
      <c r="AL22" s="1050"/>
      <c r="AM22" s="1050"/>
      <c r="AN22" s="1050"/>
      <c r="AO22" s="1050"/>
      <c r="AP22" s="1050"/>
      <c r="AQ22" s="1050"/>
      <c r="AR22" s="1050"/>
      <c r="AS22" s="1058">
        <f t="shared" si="7"/>
        <v>39250000</v>
      </c>
      <c r="AV22" s="1086"/>
    </row>
    <row r="23" spans="2:50" ht="15" customHeight="1" x14ac:dyDescent="0.3">
      <c r="B23" s="1880"/>
      <c r="C23" s="1085" t="s">
        <v>764</v>
      </c>
      <c r="D23" s="1087" t="s">
        <v>146</v>
      </c>
      <c r="E23" s="1088">
        <f>'3-4. 수입예산 성질별 총괄표(완료)'!F31</f>
        <v>0</v>
      </c>
      <c r="F23" s="1088">
        <f>'[1]3-4. 수입예산 성질별 총괄표'!G37</f>
        <v>2.4543715246593925</v>
      </c>
      <c r="G23" s="1088">
        <f>'[1]3-4. 수입예산 성질별 총괄표'!H37</f>
        <v>190300000</v>
      </c>
      <c r="H23" s="1088">
        <f>'[1]3-4. 수입예산 성질별 총괄표'!I37</f>
        <v>0.48848038500981783</v>
      </c>
      <c r="I23" s="1088">
        <f>'[1]3-4. 수입예산 성질별 총괄표'!J37</f>
        <v>837257000</v>
      </c>
      <c r="J23" s="1088">
        <f>'[1]3-4. 수입예산 성질별 총괄표'!K37</f>
        <v>439.96689437729896</v>
      </c>
      <c r="K23" s="1088" t="e">
        <f>'[1]3-4. 수입예산 성질별 총괄표'!#REF!</f>
        <v>#REF!</v>
      </c>
      <c r="L23" s="1088" t="e">
        <f>'[1]3-4. 수입예산 성질별 총괄표'!#REF!</f>
        <v>#REF!</v>
      </c>
      <c r="M23" s="1088">
        <f>'[1]3-4. 수입예산 성질별 총괄표'!L37</f>
        <v>0</v>
      </c>
      <c r="N23" s="1088">
        <f>'3-4. 수입예산 성질별 총괄표(완료)'!H31</f>
        <v>0</v>
      </c>
      <c r="O23" s="1088" t="e">
        <f>SUM(#REF!)</f>
        <v>#REF!</v>
      </c>
      <c r="P23" s="1088" t="e">
        <f>SUM(#REF!)</f>
        <v>#REF!</v>
      </c>
      <c r="Q23" s="1088" t="e">
        <f>SUM(#REF!)</f>
        <v>#REF!</v>
      </c>
      <c r="R23" s="1088" t="e">
        <f>SUM(#REF!)</f>
        <v>#REF!</v>
      </c>
      <c r="S23" s="1088" t="e">
        <f>SUM(#REF!)</f>
        <v>#REF!</v>
      </c>
      <c r="T23" s="1088" t="e">
        <f>SUM(#REF!)</f>
        <v>#REF!</v>
      </c>
      <c r="U23" s="1088" t="e">
        <f>SUM(#REF!)</f>
        <v>#REF!</v>
      </c>
      <c r="V23" s="1088" t="e">
        <f>SUM(#REF!)</f>
        <v>#REF!</v>
      </c>
      <c r="W23" s="1089">
        <f t="shared" si="12"/>
        <v>0</v>
      </c>
      <c r="X23" s="1032"/>
      <c r="Y23" s="1875"/>
      <c r="Z23" s="1055" t="s">
        <v>336</v>
      </c>
      <c r="AA23" s="1091">
        <f>'3-5.지출예산 성질별총괄표(완료)'!F47</f>
        <v>867800000</v>
      </c>
      <c r="AB23" s="1091"/>
      <c r="AC23" s="1091"/>
      <c r="AD23" s="1091"/>
      <c r="AE23" s="1091"/>
      <c r="AF23" s="1091"/>
      <c r="AG23" s="1091"/>
      <c r="AH23" s="1091"/>
      <c r="AI23" s="1091"/>
      <c r="AJ23" s="1091">
        <f>'3-5.지출예산 성질별총괄표(완료)'!H47</f>
        <v>1041463160</v>
      </c>
      <c r="AK23" s="1092"/>
      <c r="AL23" s="1092"/>
      <c r="AM23" s="1092"/>
      <c r="AN23" s="1092"/>
      <c r="AO23" s="1092"/>
      <c r="AP23" s="1092"/>
      <c r="AQ23" s="1092"/>
      <c r="AR23" s="1092"/>
      <c r="AS23" s="1058">
        <f t="shared" si="7"/>
        <v>-173663160</v>
      </c>
    </row>
    <row r="24" spans="2:50" ht="15" customHeight="1" x14ac:dyDescent="0.3">
      <c r="B24" s="1883" t="s">
        <v>758</v>
      </c>
      <c r="C24" s="1886" t="s">
        <v>278</v>
      </c>
      <c r="D24" s="1060" t="s">
        <v>52</v>
      </c>
      <c r="E24" s="1041">
        <f t="shared" ref="E24:M24" si="13">SUM(E25:E28)</f>
        <v>4000000000</v>
      </c>
      <c r="F24" s="1041">
        <f t="shared" si="13"/>
        <v>41.846960808667568</v>
      </c>
      <c r="G24" s="1041">
        <f t="shared" si="13"/>
        <v>16178680000</v>
      </c>
      <c r="H24" s="1041">
        <f t="shared" si="13"/>
        <v>41.528995456388024</v>
      </c>
      <c r="I24" s="1041">
        <f t="shared" si="13"/>
        <v>1341136000</v>
      </c>
      <c r="J24" s="1041">
        <f t="shared" si="13"/>
        <v>-22.714328984968059</v>
      </c>
      <c r="K24" s="1041" t="e">
        <f t="shared" si="13"/>
        <v>#REF!</v>
      </c>
      <c r="L24" s="1041" t="e">
        <f t="shared" si="13"/>
        <v>#REF!</v>
      </c>
      <c r="M24" s="1041">
        <f t="shared" si="13"/>
        <v>0</v>
      </c>
      <c r="N24" s="1061">
        <f>SUM(N25:N28)</f>
        <v>3410000000</v>
      </c>
      <c r="O24" s="1041">
        <f t="shared" ref="O24:V24" si="14">SUM(O25:O28)</f>
        <v>0</v>
      </c>
      <c r="P24" s="1041">
        <f t="shared" si="14"/>
        <v>0</v>
      </c>
      <c r="Q24" s="1041">
        <f t="shared" si="14"/>
        <v>0</v>
      </c>
      <c r="R24" s="1041">
        <f t="shared" si="14"/>
        <v>0</v>
      </c>
      <c r="S24" s="1041">
        <f t="shared" si="14"/>
        <v>0</v>
      </c>
      <c r="T24" s="1041">
        <f t="shared" si="14"/>
        <v>0</v>
      </c>
      <c r="U24" s="1041">
        <f t="shared" si="14"/>
        <v>0</v>
      </c>
      <c r="V24" s="1041">
        <f t="shared" si="14"/>
        <v>0</v>
      </c>
      <c r="W24" s="1042">
        <f t="shared" si="12"/>
        <v>590000000</v>
      </c>
      <c r="X24" s="1032"/>
      <c r="Y24" s="1875"/>
      <c r="Z24" s="1090" t="s">
        <v>360</v>
      </c>
      <c r="AA24" s="1091">
        <f>'3-5.지출예산 성질별총괄표(완료)'!F49</f>
        <v>780000000</v>
      </c>
      <c r="AB24" s="1091"/>
      <c r="AC24" s="1091"/>
      <c r="AD24" s="1091"/>
      <c r="AE24" s="1091"/>
      <c r="AF24" s="1091"/>
      <c r="AG24" s="1091"/>
      <c r="AH24" s="1091"/>
      <c r="AI24" s="1091"/>
      <c r="AJ24" s="1091">
        <f>'3-5.지출예산 성질별총괄표(완료)'!H49</f>
        <v>1273000000</v>
      </c>
      <c r="AK24" s="1093"/>
      <c r="AL24" s="1093"/>
      <c r="AM24" s="1093"/>
      <c r="AN24" s="1093"/>
      <c r="AO24" s="1093"/>
      <c r="AP24" s="1093"/>
      <c r="AQ24" s="1093"/>
      <c r="AR24" s="1093"/>
      <c r="AS24" s="1058">
        <f t="shared" si="7"/>
        <v>-493000000</v>
      </c>
      <c r="AT24" s="1094"/>
      <c r="AU24" s="1094"/>
      <c r="AV24" s="1094"/>
      <c r="AW24" s="1094"/>
      <c r="AX24" s="1094"/>
    </row>
    <row r="25" spans="2:50" ht="15" customHeight="1" x14ac:dyDescent="0.3">
      <c r="B25" s="1884"/>
      <c r="C25" s="1886"/>
      <c r="D25" s="1045" t="s">
        <v>309</v>
      </c>
      <c r="E25" s="1046"/>
      <c r="F25" s="1046"/>
      <c r="G25" s="1046"/>
      <c r="H25" s="1046"/>
      <c r="I25" s="1046"/>
      <c r="J25" s="1046"/>
      <c r="K25" s="1046"/>
      <c r="L25" s="1046"/>
      <c r="M25" s="1046"/>
      <c r="N25" s="1046"/>
      <c r="O25" s="1075"/>
      <c r="P25" s="1046"/>
      <c r="Q25" s="1046"/>
      <c r="R25" s="1046"/>
      <c r="S25" s="1046"/>
      <c r="T25" s="1046"/>
      <c r="U25" s="1046"/>
      <c r="V25" s="1046"/>
      <c r="W25" s="1047"/>
      <c r="X25" s="1032"/>
      <c r="Y25" s="1875"/>
      <c r="Z25" s="1090" t="s">
        <v>356</v>
      </c>
      <c r="AA25" s="1587">
        <f>'3-5.지출예산 성질별총괄표(완료)'!F51</f>
        <v>1798307000</v>
      </c>
      <c r="AB25" s="1587"/>
      <c r="AC25" s="1587"/>
      <c r="AD25" s="1587"/>
      <c r="AE25" s="1587"/>
      <c r="AF25" s="1587"/>
      <c r="AG25" s="1587"/>
      <c r="AH25" s="1587"/>
      <c r="AI25" s="1587"/>
      <c r="AJ25" s="1587">
        <f>'3-5.지출예산 성질별총괄표(완료)'!H51</f>
        <v>1804896000</v>
      </c>
      <c r="AK25" s="1588"/>
      <c r="AL25" s="1588"/>
      <c r="AM25" s="1588"/>
      <c r="AN25" s="1588"/>
      <c r="AO25" s="1588"/>
      <c r="AP25" s="1588"/>
      <c r="AQ25" s="1588"/>
      <c r="AR25" s="1588"/>
      <c r="AS25" s="1589">
        <f>AA25-AJ25</f>
        <v>-6589000</v>
      </c>
      <c r="AT25" s="1094"/>
      <c r="AU25" s="1100"/>
    </row>
    <row r="26" spans="2:50" ht="15" customHeight="1" x14ac:dyDescent="0.3">
      <c r="B26" s="1884"/>
      <c r="C26" s="1886"/>
      <c r="D26" s="1052" t="s">
        <v>727</v>
      </c>
      <c r="E26" s="1053">
        <f>'3-4. 수입예산 성질별 총괄표(완료)'!F47</f>
        <v>0</v>
      </c>
      <c r="F26" s="1053">
        <f>'[1]3-4. 수입예산 성질별 총괄표'!G54</f>
        <v>11.942751227714826</v>
      </c>
      <c r="G26" s="1053">
        <f>'[1]3-4. 수입예산 성질별 총괄표'!H54</f>
        <v>0</v>
      </c>
      <c r="H26" s="1053">
        <f>'[1]3-4. 수입예산 성질별 총괄표'!I54</f>
        <v>0</v>
      </c>
      <c r="I26" s="1053">
        <f>'[1]3-4. 수입예산 성질별 총괄표'!J54</f>
        <v>5000000000</v>
      </c>
      <c r="J26" s="1053">
        <f>'[1]3-4. 수입예산 성질별 총괄표'!K54</f>
        <v>0</v>
      </c>
      <c r="K26" s="1053" t="e">
        <f>'[1]3-4. 수입예산 성질별 총괄표'!#REF!</f>
        <v>#REF!</v>
      </c>
      <c r="L26" s="1053" t="e">
        <f>'[1]3-4. 수입예산 성질별 총괄표'!#REF!</f>
        <v>#REF!</v>
      </c>
      <c r="M26" s="1053">
        <f>'[1]3-4. 수입예산 성질별 총괄표'!L54</f>
        <v>0</v>
      </c>
      <c r="N26" s="1053">
        <f>'3-4. 수입예산 성질별 총괄표(완료)'!H47</f>
        <v>0</v>
      </c>
      <c r="O26" s="1071"/>
      <c r="P26" s="1053"/>
      <c r="Q26" s="1053"/>
      <c r="R26" s="1053"/>
      <c r="S26" s="1053"/>
      <c r="T26" s="1053"/>
      <c r="U26" s="1053"/>
      <c r="V26" s="1053"/>
      <c r="W26" s="1054">
        <f t="shared" si="12"/>
        <v>0</v>
      </c>
      <c r="X26" s="1032"/>
      <c r="Y26" s="1095" t="s">
        <v>327</v>
      </c>
      <c r="Z26" s="1096" t="s">
        <v>58</v>
      </c>
      <c r="AA26" s="1097">
        <f>'3-5.지출예산 성질별총괄표(완료)'!F55</f>
        <v>0</v>
      </c>
      <c r="AB26" s="1097"/>
      <c r="AC26" s="1097"/>
      <c r="AD26" s="1097"/>
      <c r="AE26" s="1097"/>
      <c r="AF26" s="1097"/>
      <c r="AG26" s="1097"/>
      <c r="AH26" s="1097"/>
      <c r="AI26" s="1097"/>
      <c r="AJ26" s="1097">
        <f>'3-5.지출예산 성질별총괄표(완료)'!H55</f>
        <v>7500000</v>
      </c>
      <c r="AK26" s="1098"/>
      <c r="AL26" s="1098"/>
      <c r="AM26" s="1098"/>
      <c r="AN26" s="1098"/>
      <c r="AO26" s="1098"/>
      <c r="AP26" s="1098"/>
      <c r="AQ26" s="1098"/>
      <c r="AR26" s="1098"/>
      <c r="AS26" s="1099">
        <f>AA26-AJ26</f>
        <v>-7500000</v>
      </c>
      <c r="AT26" s="1094"/>
      <c r="AU26" s="1100"/>
    </row>
    <row r="27" spans="2:50" ht="15" customHeight="1" x14ac:dyDescent="0.3">
      <c r="B27" s="1884"/>
      <c r="C27" s="1886"/>
      <c r="D27" s="1052" t="s">
        <v>600</v>
      </c>
      <c r="E27" s="1053">
        <f>'3-4. 수입예산 성질별 총괄표(완료)'!F49</f>
        <v>4000000000</v>
      </c>
      <c r="F27" s="1053">
        <f>'[1]3-4. 수입예산 성질별 총괄표'!G56</f>
        <v>18.109868534194483</v>
      </c>
      <c r="G27" s="1053">
        <f>'[1]3-4. 수입예산 성질별 총괄표'!H56</f>
        <v>11812810000</v>
      </c>
      <c r="H27" s="1053">
        <f>'[1]3-4. 수입예산 성질별 총괄표'!I56</f>
        <v>30.322259468459418</v>
      </c>
      <c r="I27" s="1053">
        <f>'[1]3-4. 수입예산 성질별 총괄표'!J56</f>
        <v>-4230860000</v>
      </c>
      <c r="J27" s="1053">
        <f>'[1]3-4. 수입예산 성질별 총괄표'!K56</f>
        <v>-35.815864303243686</v>
      </c>
      <c r="K27" s="1053" t="e">
        <f>'[1]3-4. 수입예산 성질별 총괄표'!#REF!</f>
        <v>#REF!</v>
      </c>
      <c r="L27" s="1053" t="e">
        <f>'[1]3-4. 수입예산 성질별 총괄표'!#REF!</f>
        <v>#REF!</v>
      </c>
      <c r="M27" s="1053">
        <f>'[1]3-4. 수입예산 성질별 총괄표'!L56</f>
        <v>0</v>
      </c>
      <c r="N27" s="1053">
        <f>'3-4. 수입예산 성질별 총괄표(완료)'!H49</f>
        <v>3410000000</v>
      </c>
      <c r="O27" s="1071"/>
      <c r="P27" s="1053"/>
      <c r="Q27" s="1053"/>
      <c r="R27" s="1053"/>
      <c r="S27" s="1053"/>
      <c r="T27" s="1053"/>
      <c r="U27" s="1053"/>
      <c r="V27" s="1053"/>
      <c r="W27" s="1054">
        <f t="shared" si="12"/>
        <v>590000000</v>
      </c>
      <c r="X27" s="1032"/>
      <c r="Y27" s="1874" t="s">
        <v>314</v>
      </c>
      <c r="Z27" s="1101" t="s">
        <v>52</v>
      </c>
      <c r="AA27" s="1102">
        <f>SUM(AA28:AA31)</f>
        <v>5646162000</v>
      </c>
      <c r="AB27" s="1102">
        <f t="shared" ref="AB27:AS27" si="15">SUM(AB28:AB31)</f>
        <v>0</v>
      </c>
      <c r="AC27" s="1102">
        <f t="shared" si="15"/>
        <v>0</v>
      </c>
      <c r="AD27" s="1102">
        <f t="shared" si="15"/>
        <v>0</v>
      </c>
      <c r="AE27" s="1102">
        <f t="shared" si="15"/>
        <v>0</v>
      </c>
      <c r="AF27" s="1102">
        <f t="shared" si="15"/>
        <v>0</v>
      </c>
      <c r="AG27" s="1102">
        <f t="shared" si="15"/>
        <v>0</v>
      </c>
      <c r="AH27" s="1102">
        <f t="shared" si="15"/>
        <v>0</v>
      </c>
      <c r="AI27" s="1102">
        <f t="shared" si="15"/>
        <v>0</v>
      </c>
      <c r="AJ27" s="1102">
        <f t="shared" si="15"/>
        <v>11601550000</v>
      </c>
      <c r="AK27" s="1102">
        <f t="shared" si="15"/>
        <v>0</v>
      </c>
      <c r="AL27" s="1102">
        <f t="shared" si="15"/>
        <v>0</v>
      </c>
      <c r="AM27" s="1102">
        <f t="shared" si="15"/>
        <v>0</v>
      </c>
      <c r="AN27" s="1102">
        <f t="shared" si="15"/>
        <v>0</v>
      </c>
      <c r="AO27" s="1102">
        <f t="shared" si="15"/>
        <v>0</v>
      </c>
      <c r="AP27" s="1102">
        <f t="shared" si="15"/>
        <v>0</v>
      </c>
      <c r="AQ27" s="1102">
        <f t="shared" si="15"/>
        <v>0</v>
      </c>
      <c r="AR27" s="1102">
        <f t="shared" si="15"/>
        <v>0</v>
      </c>
      <c r="AS27" s="1102">
        <f t="shared" si="15"/>
        <v>-5955388000</v>
      </c>
      <c r="AT27" s="1094"/>
      <c r="AU27" s="1100"/>
    </row>
    <row r="28" spans="2:50" ht="15" customHeight="1" x14ac:dyDescent="0.3">
      <c r="B28" s="1885"/>
      <c r="C28" s="1887"/>
      <c r="D28" s="1105" t="s">
        <v>747</v>
      </c>
      <c r="E28" s="1106">
        <f>'3-4. 수입예산 성질별 총괄표(완료)'!F52</f>
        <v>0</v>
      </c>
      <c r="F28" s="1106">
        <f>'[1]3-4. 수입예산 성질별 총괄표'!G59</f>
        <v>11.794341046758259</v>
      </c>
      <c r="G28" s="1106">
        <f>'[1]3-4. 수입예산 성질별 총괄표'!H59</f>
        <v>4365870000</v>
      </c>
      <c r="H28" s="1106">
        <f>'[1]3-4. 수입예산 성질별 총괄표'!I59</f>
        <v>11.206735987928605</v>
      </c>
      <c r="I28" s="1106">
        <f>'[1]3-4. 수입예산 성질별 총괄표'!J59</f>
        <v>571996000</v>
      </c>
      <c r="J28" s="1106">
        <f>'[1]3-4. 수입예산 성질별 총괄표'!K59</f>
        <v>13.101535318275626</v>
      </c>
      <c r="K28" s="1106" t="e">
        <f>'[1]3-4. 수입예산 성질별 총괄표'!#REF!</f>
        <v>#REF!</v>
      </c>
      <c r="L28" s="1106" t="e">
        <f>'[1]3-4. 수입예산 성질별 총괄표'!#REF!</f>
        <v>#REF!</v>
      </c>
      <c r="M28" s="1106">
        <f>'[1]3-4. 수입예산 성질별 총괄표'!L59</f>
        <v>0</v>
      </c>
      <c r="N28" s="1106">
        <f>'3-4. 수입예산 성질별 총괄표(완료)'!H52</f>
        <v>0</v>
      </c>
      <c r="O28" s="1107"/>
      <c r="P28" s="1107"/>
      <c r="Q28" s="1107"/>
      <c r="R28" s="1107"/>
      <c r="S28" s="1107"/>
      <c r="T28" s="1107"/>
      <c r="U28" s="1107"/>
      <c r="V28" s="1107"/>
      <c r="W28" s="1108">
        <f>E28-N28</f>
        <v>0</v>
      </c>
      <c r="X28" s="1032"/>
      <c r="Y28" s="1875"/>
      <c r="Z28" s="1103" t="s">
        <v>41</v>
      </c>
      <c r="AA28" s="1104">
        <f>'3-5.지출예산 성질별총괄표(완료)'!F61</f>
        <v>3129212000</v>
      </c>
      <c r="AB28" s="1104"/>
      <c r="AC28" s="1104"/>
      <c r="AD28" s="1104"/>
      <c r="AE28" s="1104"/>
      <c r="AF28" s="1104"/>
      <c r="AG28" s="1104"/>
      <c r="AH28" s="1104"/>
      <c r="AI28" s="1104"/>
      <c r="AJ28" s="1049">
        <f>'3-5.지출예산 성질별총괄표(완료)'!H61</f>
        <v>6105000000</v>
      </c>
      <c r="AK28" s="1104"/>
      <c r="AL28" s="1104"/>
      <c r="AM28" s="1104"/>
      <c r="AN28" s="1104"/>
      <c r="AO28" s="1104"/>
      <c r="AP28" s="1104"/>
      <c r="AQ28" s="1104"/>
      <c r="AR28" s="1104"/>
      <c r="AS28" s="1051">
        <f>AA28-AJ28</f>
        <v>-2975788000</v>
      </c>
      <c r="AT28" s="1094"/>
      <c r="AU28" s="1100"/>
    </row>
    <row r="29" spans="2:50" ht="15" customHeight="1" x14ac:dyDescent="0.3">
      <c r="B29" s="1610"/>
      <c r="C29" s="1608"/>
      <c r="D29" s="1110"/>
      <c r="E29" s="1111"/>
      <c r="F29" s="1111"/>
      <c r="G29" s="1111"/>
      <c r="H29" s="1111"/>
      <c r="I29" s="1111"/>
      <c r="J29" s="1111"/>
      <c r="K29" s="1111"/>
      <c r="L29" s="1111"/>
      <c r="M29" s="1111"/>
      <c r="N29" s="1111"/>
      <c r="O29" s="1111"/>
      <c r="P29" s="1111"/>
      <c r="Q29" s="1111"/>
      <c r="R29" s="1111"/>
      <c r="S29" s="1111"/>
      <c r="T29" s="1111"/>
      <c r="U29" s="1111"/>
      <c r="V29" s="1111"/>
      <c r="W29" s="1111"/>
      <c r="X29" s="1032"/>
      <c r="Y29" s="1875"/>
      <c r="Z29" s="1109" t="s">
        <v>226</v>
      </c>
      <c r="AA29" s="1050">
        <f>'3-5.지출예산 성질별총괄표(완료)'!F66</f>
        <v>2359450000</v>
      </c>
      <c r="AB29" s="1050"/>
      <c r="AC29" s="1050"/>
      <c r="AD29" s="1050"/>
      <c r="AE29" s="1050"/>
      <c r="AF29" s="1050"/>
      <c r="AG29" s="1050"/>
      <c r="AH29" s="1050"/>
      <c r="AI29" s="1050"/>
      <c r="AJ29" s="1062">
        <f>'3-5.지출예산 성질별총괄표(완료)'!H66</f>
        <v>5397550000</v>
      </c>
      <c r="AK29" s="1050"/>
      <c r="AL29" s="1050"/>
      <c r="AM29" s="1050"/>
      <c r="AN29" s="1050"/>
      <c r="AO29" s="1050"/>
      <c r="AP29" s="1050"/>
      <c r="AQ29" s="1050"/>
      <c r="AR29" s="1050"/>
      <c r="AS29" s="1058">
        <f>AA29-AJ29</f>
        <v>-3038100000</v>
      </c>
      <c r="AT29" s="1112"/>
      <c r="AU29" s="1100"/>
    </row>
    <row r="30" spans="2:50" ht="15" customHeight="1" x14ac:dyDescent="0.3">
      <c r="B30" s="1897" t="s">
        <v>496</v>
      </c>
      <c r="C30" s="1898"/>
      <c r="D30" s="1891" t="s">
        <v>506</v>
      </c>
      <c r="E30" s="1893" t="s">
        <v>482</v>
      </c>
      <c r="F30" s="1613"/>
      <c r="G30" s="1613"/>
      <c r="H30" s="1613"/>
      <c r="I30" s="1613"/>
      <c r="J30" s="1613"/>
      <c r="K30" s="1613"/>
      <c r="L30" s="1613"/>
      <c r="M30" s="1614"/>
      <c r="N30" s="1893" t="s">
        <v>518</v>
      </c>
      <c r="O30" s="1613" t="s">
        <v>122</v>
      </c>
      <c r="P30" s="1613" t="s">
        <v>85</v>
      </c>
      <c r="Q30" s="1613" t="s">
        <v>119</v>
      </c>
      <c r="R30" s="1613" t="s">
        <v>76</v>
      </c>
      <c r="S30" s="1613" t="s">
        <v>83</v>
      </c>
      <c r="T30" s="1613" t="s">
        <v>104</v>
      </c>
      <c r="U30" s="1613" t="s">
        <v>90</v>
      </c>
      <c r="V30" s="1613" t="s">
        <v>756</v>
      </c>
      <c r="W30" s="1895" t="s">
        <v>500</v>
      </c>
      <c r="X30" s="1032"/>
      <c r="Y30" s="1875"/>
      <c r="Z30" s="1109" t="s">
        <v>332</v>
      </c>
      <c r="AA30" s="1057">
        <f>'3-5.지출예산 성질별총괄표(완료)'!F68</f>
        <v>157500000</v>
      </c>
      <c r="AB30" s="1057"/>
      <c r="AC30" s="1057"/>
      <c r="AD30" s="1057"/>
      <c r="AE30" s="1057"/>
      <c r="AF30" s="1057"/>
      <c r="AG30" s="1057"/>
      <c r="AH30" s="1057"/>
      <c r="AI30" s="1057"/>
      <c r="AJ30" s="1056">
        <f>'3-5.지출예산 성질별총괄표(완료)'!H68</f>
        <v>99000000</v>
      </c>
      <c r="AK30" s="1057"/>
      <c r="AL30" s="1057"/>
      <c r="AM30" s="1057"/>
      <c r="AN30" s="1057"/>
      <c r="AO30" s="1057"/>
      <c r="AP30" s="1057"/>
      <c r="AQ30" s="1057"/>
      <c r="AR30" s="1057"/>
      <c r="AS30" s="1058">
        <f>AA30-AJ30</f>
        <v>58500000</v>
      </c>
      <c r="AT30" s="1112"/>
      <c r="AU30" s="1100"/>
    </row>
    <row r="31" spans="2:50" ht="15" customHeight="1" x14ac:dyDescent="0.3">
      <c r="B31" s="1899"/>
      <c r="C31" s="1900"/>
      <c r="D31" s="1892"/>
      <c r="E31" s="1894"/>
      <c r="F31" s="1612"/>
      <c r="G31" s="1612"/>
      <c r="H31" s="1612"/>
      <c r="I31" s="1612"/>
      <c r="J31" s="1612"/>
      <c r="K31" s="1612"/>
      <c r="L31" s="1612"/>
      <c r="M31" s="1612"/>
      <c r="N31" s="1894"/>
      <c r="O31" s="1612">
        <v>0</v>
      </c>
      <c r="P31" s="1612">
        <v>0</v>
      </c>
      <c r="Q31" s="1612">
        <v>0</v>
      </c>
      <c r="R31" s="1612">
        <v>0</v>
      </c>
      <c r="S31" s="1612">
        <v>0</v>
      </c>
      <c r="T31" s="1612">
        <v>0</v>
      </c>
      <c r="U31" s="1612">
        <v>0</v>
      </c>
      <c r="V31" s="1612">
        <v>0</v>
      </c>
      <c r="W31" s="1896"/>
      <c r="X31" s="1032"/>
      <c r="Y31" s="1876"/>
      <c r="Z31" s="1113" t="s">
        <v>281</v>
      </c>
      <c r="AA31" s="1114"/>
      <c r="AB31" s="1114"/>
      <c r="AC31" s="1114"/>
      <c r="AD31" s="1114"/>
      <c r="AE31" s="1114"/>
      <c r="AF31" s="1114"/>
      <c r="AG31" s="1114"/>
      <c r="AH31" s="1114"/>
      <c r="AI31" s="1114"/>
      <c r="AJ31" s="1115"/>
      <c r="AK31" s="1114"/>
      <c r="AL31" s="1114"/>
      <c r="AM31" s="1114"/>
      <c r="AN31" s="1114"/>
      <c r="AO31" s="1114"/>
      <c r="AP31" s="1114"/>
      <c r="AQ31" s="1114"/>
      <c r="AR31" s="1114"/>
      <c r="AS31" s="1116">
        <f>AA31-AJ31</f>
        <v>0</v>
      </c>
      <c r="AT31" s="1094"/>
    </row>
    <row r="32" spans="2:50" ht="15" customHeight="1" x14ac:dyDescent="0.3">
      <c r="B32" s="1899"/>
      <c r="C32" s="1900"/>
      <c r="D32" s="1903" t="s">
        <v>366</v>
      </c>
      <c r="E32" s="1888">
        <v>4800000000</v>
      </c>
      <c r="F32" s="1615">
        <v>0</v>
      </c>
      <c r="G32" s="1615">
        <v>0</v>
      </c>
      <c r="H32" s="1615">
        <v>0</v>
      </c>
      <c r="I32" s="1615">
        <v>0</v>
      </c>
      <c r="J32" s="1615">
        <v>0</v>
      </c>
      <c r="K32" s="1615">
        <v>0</v>
      </c>
      <c r="L32" s="1615">
        <v>0</v>
      </c>
      <c r="M32" s="1617">
        <v>0</v>
      </c>
      <c r="N32" s="1908">
        <v>312962400</v>
      </c>
      <c r="O32" s="1619">
        <v>0</v>
      </c>
      <c r="P32" s="1615">
        <v>0</v>
      </c>
      <c r="Q32" s="1615">
        <v>0</v>
      </c>
      <c r="R32" s="1615">
        <v>0</v>
      </c>
      <c r="S32" s="1615">
        <v>0</v>
      </c>
      <c r="T32" s="1615">
        <v>0</v>
      </c>
      <c r="U32" s="1615">
        <v>0</v>
      </c>
      <c r="V32" s="1615">
        <v>0</v>
      </c>
      <c r="W32" s="1905">
        <v>5112962400</v>
      </c>
      <c r="X32" s="1032"/>
      <c r="Y32" s="1118" t="s">
        <v>93</v>
      </c>
      <c r="Z32" s="1119" t="s">
        <v>93</v>
      </c>
      <c r="AA32" s="1120">
        <f>'3-5.지출예산 성질별총괄표(완료)'!F75</f>
        <v>0</v>
      </c>
      <c r="AB32" s="1120"/>
      <c r="AC32" s="1120"/>
      <c r="AD32" s="1120"/>
      <c r="AE32" s="1120"/>
      <c r="AF32" s="1120"/>
      <c r="AG32" s="1120"/>
      <c r="AH32" s="1120"/>
      <c r="AI32" s="1120"/>
      <c r="AJ32" s="1120">
        <f>'3-5.지출예산 성질별총괄표(완료)'!H75</f>
        <v>404152000</v>
      </c>
      <c r="AK32" s="1120">
        <f>'[1]3-5.지출예산 성질별총괄표'!P94</f>
        <v>0</v>
      </c>
      <c r="AL32" s="1120">
        <f>'[1]3-5.지출예산 성질별총괄표'!Q94</f>
        <v>0</v>
      </c>
      <c r="AM32" s="1120">
        <f>'[1]3-5.지출예산 성질별총괄표'!R94</f>
        <v>0</v>
      </c>
      <c r="AN32" s="1120">
        <f>'[1]3-5.지출예산 성질별총괄표'!S94</f>
        <v>0</v>
      </c>
      <c r="AO32" s="1120">
        <f>'[1]3-5.지출예산 성질별총괄표'!T94</f>
        <v>0</v>
      </c>
      <c r="AP32" s="1120">
        <f>'[1]3-5.지출예산 성질별총괄표'!U94</f>
        <v>0</v>
      </c>
      <c r="AQ32" s="1120">
        <f>'[1]3-5.지출예산 성질별총괄표'!V94</f>
        <v>0</v>
      </c>
      <c r="AR32" s="1120">
        <f>'[1]3-5.지출예산 성질별총괄표'!W94</f>
        <v>0</v>
      </c>
      <c r="AS32" s="1121">
        <f>AA32-AJ32</f>
        <v>-404152000</v>
      </c>
      <c r="AT32" s="1094"/>
    </row>
    <row r="33" spans="2:50" ht="15" customHeight="1" x14ac:dyDescent="0.3">
      <c r="B33" s="1899"/>
      <c r="C33" s="1900"/>
      <c r="D33" s="1903"/>
      <c r="E33" s="1889"/>
      <c r="F33" s="1611"/>
      <c r="G33" s="1611"/>
      <c r="H33" s="1611"/>
      <c r="I33" s="1611"/>
      <c r="J33" s="1611"/>
      <c r="K33" s="1611"/>
      <c r="L33" s="1611"/>
      <c r="M33" s="1618"/>
      <c r="N33" s="1909"/>
      <c r="O33" s="1050"/>
      <c r="P33" s="1050"/>
      <c r="Q33" s="1050"/>
      <c r="R33" s="1050"/>
      <c r="S33" s="1050"/>
      <c r="T33" s="1050"/>
      <c r="U33" s="1050"/>
      <c r="V33" s="1050"/>
      <c r="W33" s="1906"/>
      <c r="X33" s="1032"/>
      <c r="Y33" s="1874" t="s">
        <v>293</v>
      </c>
      <c r="Z33" s="1122" t="s">
        <v>52</v>
      </c>
      <c r="AA33" s="1123">
        <f>AA34+AA35</f>
        <v>204</v>
      </c>
      <c r="AB33" s="1123">
        <f t="shared" ref="AB33:AS33" si="16">AB34+AB35</f>
        <v>0</v>
      </c>
      <c r="AC33" s="1123">
        <f t="shared" si="16"/>
        <v>0</v>
      </c>
      <c r="AD33" s="1123">
        <f t="shared" si="16"/>
        <v>0</v>
      </c>
      <c r="AE33" s="1123">
        <f t="shared" si="16"/>
        <v>0</v>
      </c>
      <c r="AF33" s="1123">
        <f t="shared" si="16"/>
        <v>0</v>
      </c>
      <c r="AG33" s="1123">
        <f t="shared" si="16"/>
        <v>0</v>
      </c>
      <c r="AH33" s="1123">
        <f t="shared" si="16"/>
        <v>0</v>
      </c>
      <c r="AI33" s="1123">
        <f t="shared" si="16"/>
        <v>0</v>
      </c>
      <c r="AJ33" s="1123">
        <f t="shared" si="16"/>
        <v>210</v>
      </c>
      <c r="AK33" s="1123">
        <f t="shared" si="16"/>
        <v>0</v>
      </c>
      <c r="AL33" s="1123">
        <f t="shared" si="16"/>
        <v>0</v>
      </c>
      <c r="AM33" s="1123">
        <f t="shared" si="16"/>
        <v>0</v>
      </c>
      <c r="AN33" s="1123">
        <f t="shared" si="16"/>
        <v>0</v>
      </c>
      <c r="AO33" s="1123">
        <f t="shared" si="16"/>
        <v>0</v>
      </c>
      <c r="AP33" s="1123">
        <f t="shared" si="16"/>
        <v>0</v>
      </c>
      <c r="AQ33" s="1123">
        <f t="shared" si="16"/>
        <v>0</v>
      </c>
      <c r="AR33" s="1123">
        <f t="shared" si="16"/>
        <v>0</v>
      </c>
      <c r="AS33" s="1124">
        <f t="shared" si="16"/>
        <v>-6</v>
      </c>
      <c r="AT33" s="1094"/>
    </row>
    <row r="34" spans="2:50" ht="15" customHeight="1" x14ac:dyDescent="0.3">
      <c r="B34" s="1899"/>
      <c r="C34" s="1900"/>
      <c r="D34" s="1903"/>
      <c r="E34" s="1889"/>
      <c r="F34" s="1616"/>
      <c r="G34" s="1616"/>
      <c r="H34" s="1616"/>
      <c r="I34" s="1616"/>
      <c r="J34" s="1616"/>
      <c r="K34" s="1616"/>
      <c r="L34" s="1616"/>
      <c r="M34" s="1616"/>
      <c r="N34" s="1909"/>
      <c r="O34" s="1616"/>
      <c r="P34" s="1616"/>
      <c r="Q34" s="1616"/>
      <c r="R34" s="1616"/>
      <c r="S34" s="1616"/>
      <c r="T34" s="1616"/>
      <c r="U34" s="1616"/>
      <c r="V34" s="1616"/>
      <c r="W34" s="1906"/>
      <c r="X34" s="1032"/>
      <c r="Y34" s="1875"/>
      <c r="Z34" s="1125" t="s">
        <v>338</v>
      </c>
      <c r="AA34" s="1126">
        <v>183</v>
      </c>
      <c r="AB34" s="1126"/>
      <c r="AC34" s="1126"/>
      <c r="AD34" s="1126"/>
      <c r="AE34" s="1126"/>
      <c r="AF34" s="1126"/>
      <c r="AG34" s="1126"/>
      <c r="AH34" s="1126"/>
      <c r="AI34" s="1126"/>
      <c r="AJ34" s="1126">
        <v>183</v>
      </c>
      <c r="AK34" s="1127"/>
      <c r="AL34" s="1127"/>
      <c r="AM34" s="1127"/>
      <c r="AN34" s="1127"/>
      <c r="AO34" s="1127"/>
      <c r="AP34" s="1127"/>
      <c r="AQ34" s="1127"/>
      <c r="AR34" s="1127"/>
      <c r="AS34" s="1128">
        <f>AA34-AJ34</f>
        <v>0</v>
      </c>
      <c r="AT34" s="1094"/>
    </row>
    <row r="35" spans="2:50" ht="15" customHeight="1" x14ac:dyDescent="0.3">
      <c r="B35" s="1901"/>
      <c r="C35" s="1902"/>
      <c r="D35" s="1904"/>
      <c r="E35" s="1890"/>
      <c r="F35" s="1616"/>
      <c r="G35" s="1616"/>
      <c r="H35" s="1616"/>
      <c r="I35" s="1616"/>
      <c r="J35" s="1616"/>
      <c r="K35" s="1616"/>
      <c r="L35" s="1616"/>
      <c r="M35" s="1616"/>
      <c r="N35" s="1910"/>
      <c r="O35" s="1616"/>
      <c r="P35" s="1616"/>
      <c r="Q35" s="1616"/>
      <c r="R35" s="1616"/>
      <c r="S35" s="1616"/>
      <c r="T35" s="1616"/>
      <c r="U35" s="1616"/>
      <c r="V35" s="1616"/>
      <c r="W35" s="1907"/>
      <c r="X35" s="1032"/>
      <c r="Y35" s="1877"/>
      <c r="Z35" s="1129" t="s">
        <v>307</v>
      </c>
      <c r="AA35" s="1130">
        <v>21</v>
      </c>
      <c r="AB35" s="1130"/>
      <c r="AC35" s="1130"/>
      <c r="AD35" s="1130"/>
      <c r="AE35" s="1130"/>
      <c r="AF35" s="1130"/>
      <c r="AG35" s="1130"/>
      <c r="AH35" s="1130"/>
      <c r="AI35" s="1130"/>
      <c r="AJ35" s="1130">
        <v>27</v>
      </c>
      <c r="AK35" s="1131"/>
      <c r="AL35" s="1131"/>
      <c r="AM35" s="1131"/>
      <c r="AN35" s="1131"/>
      <c r="AO35" s="1131"/>
      <c r="AP35" s="1131"/>
      <c r="AQ35" s="1131"/>
      <c r="AR35" s="1131"/>
      <c r="AS35" s="1132">
        <f>AA35-AJ35</f>
        <v>-6</v>
      </c>
      <c r="AT35" s="1094"/>
    </row>
    <row r="36" spans="2:50" ht="15" customHeight="1" x14ac:dyDescent="0.3">
      <c r="B36" s="1284"/>
      <c r="C36" s="1609"/>
      <c r="D36" s="1117"/>
      <c r="E36" s="1057"/>
      <c r="F36" s="1057"/>
      <c r="G36" s="1057"/>
      <c r="H36" s="1057"/>
      <c r="I36" s="1057"/>
      <c r="J36" s="1057"/>
      <c r="K36" s="1057"/>
      <c r="L36" s="1057"/>
      <c r="M36" s="1057"/>
      <c r="N36" s="1057"/>
      <c r="O36" s="1057"/>
      <c r="P36" s="1057"/>
      <c r="Q36" s="1057"/>
      <c r="R36" s="1057"/>
      <c r="S36" s="1057"/>
      <c r="T36" s="1057"/>
      <c r="U36" s="1057"/>
      <c r="V36" s="1057"/>
      <c r="W36" s="1057"/>
      <c r="X36" s="1032"/>
      <c r="Y36" s="1590"/>
      <c r="Z36" s="1591"/>
      <c r="AA36" s="1592"/>
      <c r="AB36" s="1592"/>
      <c r="AC36" s="1592"/>
      <c r="AD36" s="1592"/>
      <c r="AE36" s="1592"/>
      <c r="AF36" s="1592"/>
      <c r="AG36" s="1592"/>
      <c r="AH36" s="1592"/>
      <c r="AI36" s="1592"/>
      <c r="AJ36" s="1592"/>
      <c r="AK36" s="1593"/>
      <c r="AL36" s="1593"/>
      <c r="AM36" s="1593"/>
      <c r="AN36" s="1593"/>
      <c r="AO36" s="1593"/>
      <c r="AP36" s="1593"/>
      <c r="AQ36" s="1593"/>
      <c r="AR36" s="1593"/>
      <c r="AS36" s="1594"/>
      <c r="AT36" s="1094"/>
    </row>
    <row r="37" spans="2:50" ht="15" customHeight="1" x14ac:dyDescent="0.3">
      <c r="B37" s="1284"/>
      <c r="C37" s="1609"/>
      <c r="D37" s="1117"/>
      <c r="E37" s="1057"/>
      <c r="F37" s="1057"/>
      <c r="G37" s="1057"/>
      <c r="H37" s="1057"/>
      <c r="I37" s="1057"/>
      <c r="J37" s="1057"/>
      <c r="K37" s="1057"/>
      <c r="L37" s="1057"/>
      <c r="M37" s="1057"/>
      <c r="N37" s="1057"/>
      <c r="O37" s="1057"/>
      <c r="P37" s="1057"/>
      <c r="Q37" s="1057"/>
      <c r="R37" s="1057"/>
      <c r="S37" s="1057"/>
      <c r="T37" s="1057"/>
      <c r="U37" s="1057"/>
      <c r="V37" s="1057"/>
      <c r="W37" s="1057"/>
      <c r="X37" s="1032"/>
      <c r="AT37" s="1094"/>
      <c r="AV37" s="1100"/>
      <c r="AW37" s="1100"/>
      <c r="AX37" s="1094"/>
    </row>
    <row r="38" spans="2:50" ht="15" customHeight="1" x14ac:dyDescent="0.3">
      <c r="B38" s="1284"/>
      <c r="C38" s="1609"/>
      <c r="D38" s="1117"/>
      <c r="E38" s="1057"/>
      <c r="F38" s="1057"/>
      <c r="G38" s="1057"/>
      <c r="H38" s="1057"/>
      <c r="I38" s="1057"/>
      <c r="J38" s="1057"/>
      <c r="K38" s="1057"/>
      <c r="L38" s="1057"/>
      <c r="M38" s="1057"/>
      <c r="N38" s="1057"/>
      <c r="O38" s="1057"/>
      <c r="P38" s="1057"/>
      <c r="Q38" s="1057"/>
      <c r="R38" s="1057"/>
      <c r="S38" s="1057"/>
      <c r="T38" s="1057"/>
      <c r="U38" s="1057"/>
      <c r="V38" s="1057"/>
      <c r="W38" s="1057"/>
      <c r="X38" s="1032"/>
      <c r="AT38" s="1094"/>
      <c r="AV38" s="1100"/>
      <c r="AW38" s="1100"/>
      <c r="AX38" s="1094"/>
    </row>
    <row r="39" spans="2:50" ht="14.1" customHeight="1" x14ac:dyDescent="0.3">
      <c r="B39" s="1284"/>
      <c r="C39" s="1609"/>
      <c r="D39" s="1117"/>
      <c r="E39" s="1057"/>
      <c r="F39" s="1057"/>
      <c r="G39" s="1057"/>
      <c r="H39" s="1057"/>
      <c r="I39" s="1057"/>
      <c r="J39" s="1057"/>
      <c r="K39" s="1057"/>
      <c r="L39" s="1057"/>
      <c r="M39" s="1057"/>
      <c r="N39" s="1057"/>
      <c r="O39" s="1057"/>
      <c r="P39" s="1057"/>
      <c r="Q39" s="1057"/>
      <c r="R39" s="1057"/>
      <c r="S39" s="1057"/>
      <c r="T39" s="1057"/>
      <c r="U39" s="1057"/>
      <c r="V39" s="1057"/>
      <c r="W39" s="1057"/>
      <c r="X39" s="1032"/>
      <c r="AT39" s="1094"/>
      <c r="AV39" s="1100"/>
      <c r="AW39" s="1100"/>
      <c r="AX39" s="1094"/>
    </row>
    <row r="40" spans="2:50" ht="14.1" customHeight="1" x14ac:dyDescent="0.3">
      <c r="B40" s="1284"/>
      <c r="C40" s="1609"/>
      <c r="D40" s="1117"/>
      <c r="E40" s="1057"/>
      <c r="F40" s="1057"/>
      <c r="G40" s="1057"/>
      <c r="H40" s="1057"/>
      <c r="I40" s="1057"/>
      <c r="J40" s="1057"/>
      <c r="K40" s="1057"/>
      <c r="L40" s="1057"/>
      <c r="M40" s="1057"/>
      <c r="N40" s="1057"/>
      <c r="O40" s="1057"/>
      <c r="P40" s="1057"/>
      <c r="Q40" s="1057"/>
      <c r="R40" s="1057"/>
      <c r="S40" s="1057"/>
      <c r="T40" s="1057"/>
      <c r="U40" s="1057"/>
      <c r="V40" s="1057"/>
      <c r="W40" s="1057"/>
      <c r="X40" s="1032"/>
      <c r="AT40" s="1094"/>
    </row>
    <row r="41" spans="2:50" ht="14.1" customHeight="1" x14ac:dyDescent="0.3">
      <c r="B41" s="1284"/>
      <c r="C41" s="1609"/>
      <c r="D41" s="1117"/>
      <c r="E41" s="1057"/>
      <c r="F41" s="1057"/>
      <c r="G41" s="1057"/>
      <c r="H41" s="1057"/>
      <c r="I41" s="1057"/>
      <c r="J41" s="1057"/>
      <c r="K41" s="1057"/>
      <c r="L41" s="1057"/>
      <c r="M41" s="1057"/>
      <c r="N41" s="1057"/>
      <c r="O41" s="1057"/>
      <c r="P41" s="1057"/>
      <c r="Q41" s="1057"/>
      <c r="R41" s="1057"/>
      <c r="S41" s="1057"/>
      <c r="T41" s="1057"/>
      <c r="U41" s="1057"/>
      <c r="V41" s="1057"/>
      <c r="W41" s="1057"/>
      <c r="AT41" s="1094"/>
      <c r="AU41" s="1100"/>
    </row>
    <row r="42" spans="2:50" ht="14.1" customHeight="1" x14ac:dyDescent="0.3">
      <c r="B42" s="1284"/>
      <c r="C42" s="1609"/>
      <c r="D42" s="1117"/>
      <c r="E42" s="1057"/>
      <c r="F42" s="1057"/>
      <c r="G42" s="1057"/>
      <c r="H42" s="1057"/>
      <c r="I42" s="1057"/>
      <c r="J42" s="1057"/>
      <c r="K42" s="1057"/>
      <c r="L42" s="1057"/>
      <c r="M42" s="1057"/>
      <c r="N42" s="1057"/>
      <c r="O42" s="1057"/>
      <c r="P42" s="1057"/>
      <c r="Q42" s="1057"/>
      <c r="R42" s="1057"/>
      <c r="S42" s="1057"/>
      <c r="T42" s="1057"/>
      <c r="U42" s="1057"/>
      <c r="V42" s="1057"/>
      <c r="W42" s="1057"/>
      <c r="AT42" s="1094"/>
      <c r="AU42" s="1100"/>
    </row>
    <row r="43" spans="2:50" ht="14.1" customHeight="1" x14ac:dyDescent="0.3">
      <c r="B43" s="1284"/>
      <c r="C43" s="1609"/>
      <c r="D43" s="1117"/>
      <c r="E43" s="1057"/>
      <c r="F43" s="1057"/>
      <c r="G43" s="1057"/>
      <c r="H43" s="1057"/>
      <c r="I43" s="1057"/>
      <c r="J43" s="1057"/>
      <c r="K43" s="1057"/>
      <c r="L43" s="1057"/>
      <c r="M43" s="1057"/>
      <c r="N43" s="1057"/>
      <c r="O43" s="1057"/>
      <c r="P43" s="1057"/>
      <c r="Q43" s="1057"/>
      <c r="R43" s="1057"/>
      <c r="S43" s="1057"/>
      <c r="T43" s="1057"/>
      <c r="U43" s="1057"/>
      <c r="V43" s="1057"/>
      <c r="W43" s="1057"/>
      <c r="AT43" s="1094"/>
      <c r="AU43" s="1100"/>
    </row>
    <row r="44" spans="2:50" ht="14.1" customHeight="1" x14ac:dyDescent="0.3">
      <c r="B44" s="1284"/>
      <c r="C44" s="1609"/>
      <c r="D44" s="1117"/>
      <c r="E44" s="1057"/>
      <c r="F44" s="1057"/>
      <c r="G44" s="1057"/>
      <c r="H44" s="1057"/>
      <c r="I44" s="1057"/>
      <c r="J44" s="1057"/>
      <c r="K44" s="1057"/>
      <c r="L44" s="1057"/>
      <c r="M44" s="1057"/>
      <c r="N44" s="1057"/>
      <c r="O44" s="1057"/>
      <c r="P44" s="1057"/>
      <c r="Q44" s="1057"/>
      <c r="R44" s="1057"/>
      <c r="S44" s="1057"/>
      <c r="T44" s="1057"/>
      <c r="U44" s="1057"/>
      <c r="V44" s="1057"/>
      <c r="W44" s="1057"/>
      <c r="AT44" s="1094"/>
      <c r="AU44" s="1100"/>
    </row>
    <row r="45" spans="2:50" ht="14.1" customHeight="1" x14ac:dyDescent="0.3">
      <c r="B45" s="1284"/>
      <c r="C45" s="1133"/>
      <c r="D45" s="1117"/>
      <c r="E45" s="1092"/>
      <c r="F45" s="1092"/>
      <c r="G45" s="1092"/>
      <c r="H45" s="1092"/>
      <c r="I45" s="1092"/>
      <c r="J45" s="1092"/>
      <c r="K45" s="1092"/>
      <c r="L45" s="1092"/>
      <c r="M45" s="1092"/>
      <c r="N45" s="1092"/>
      <c r="O45" s="1092"/>
      <c r="P45" s="1092"/>
      <c r="Q45" s="1092"/>
      <c r="R45" s="1092"/>
      <c r="S45" s="1092"/>
      <c r="T45" s="1092"/>
      <c r="U45" s="1092"/>
      <c r="V45" s="1092"/>
      <c r="W45" s="1092"/>
      <c r="AT45" s="1094"/>
      <c r="AU45" s="1100"/>
    </row>
    <row r="46" spans="2:50" ht="14.1" customHeight="1" x14ac:dyDescent="0.3">
      <c r="B46" s="1284"/>
      <c r="C46" s="1133"/>
      <c r="D46" s="1117"/>
      <c r="E46" s="1092"/>
      <c r="F46" s="1134"/>
      <c r="G46" s="1134"/>
      <c r="H46" s="1134"/>
      <c r="I46" s="1134"/>
      <c r="J46" s="1134"/>
      <c r="K46" s="1134"/>
      <c r="L46" s="1134"/>
      <c r="M46" s="1134"/>
      <c r="N46" s="1092"/>
      <c r="O46" s="1134"/>
      <c r="P46" s="1134"/>
      <c r="Q46" s="1134"/>
      <c r="R46" s="1134"/>
      <c r="S46" s="1134"/>
      <c r="T46" s="1134"/>
      <c r="U46" s="1134"/>
      <c r="V46" s="1134"/>
      <c r="W46" s="1092"/>
      <c r="AT46" s="1094"/>
      <c r="AU46" s="1100"/>
    </row>
    <row r="47" spans="2:50" ht="14.1" customHeight="1" x14ac:dyDescent="0.3">
      <c r="AU47" s="1135"/>
    </row>
    <row r="48" spans="2:50" ht="18.75" customHeight="1" x14ac:dyDescent="0.3">
      <c r="AU48" s="1136"/>
      <c r="AV48" s="1086"/>
    </row>
    <row r="49" spans="3:23" x14ac:dyDescent="0.3">
      <c r="C49" s="1873"/>
      <c r="D49" s="1873"/>
      <c r="E49" s="1137"/>
      <c r="F49" s="1137"/>
      <c r="G49" s="1137"/>
      <c r="H49" s="1137"/>
      <c r="I49" s="1137"/>
      <c r="J49" s="1137"/>
      <c r="K49" s="1137"/>
      <c r="L49" s="1137"/>
      <c r="M49" s="1137"/>
      <c r="N49" s="1137"/>
      <c r="O49" s="1137"/>
      <c r="P49" s="1137"/>
      <c r="Q49" s="1137"/>
      <c r="R49" s="1137"/>
      <c r="S49" s="1137"/>
      <c r="T49" s="1137"/>
      <c r="U49" s="1137"/>
      <c r="V49" s="1137"/>
      <c r="W49" s="1137"/>
    </row>
    <row r="51" spans="3:23" ht="16.5" x14ac:dyDescent="0.3">
      <c r="E51" s="1138"/>
      <c r="F51" s="1138">
        <f>SUM(F52:F59)</f>
        <v>0</v>
      </c>
      <c r="G51" s="1138">
        <f>SUM(G52:G59)</f>
        <v>0</v>
      </c>
      <c r="H51" s="1138">
        <f>SUM(H52:H59)</f>
        <v>0</v>
      </c>
      <c r="I51" s="1138">
        <f>SUM(I52:I59)</f>
        <v>0</v>
      </c>
    </row>
    <row r="53" spans="3:23" x14ac:dyDescent="0.3">
      <c r="N53" s="1086"/>
    </row>
    <row r="54" spans="3:23" x14ac:dyDescent="0.3">
      <c r="N54" s="1086"/>
    </row>
    <row r="55" spans="3:23" x14ac:dyDescent="0.3">
      <c r="N55" s="1086"/>
    </row>
    <row r="56" spans="3:23" x14ac:dyDescent="0.3">
      <c r="N56" s="1086"/>
    </row>
    <row r="57" spans="3:23" x14ac:dyDescent="0.3">
      <c r="N57" s="1086"/>
    </row>
    <row r="58" spans="3:23" x14ac:dyDescent="0.3">
      <c r="N58" s="1086"/>
    </row>
    <row r="59" spans="3:23" x14ac:dyDescent="0.3">
      <c r="N59" s="1086"/>
    </row>
    <row r="60" spans="3:23" x14ac:dyDescent="0.3">
      <c r="N60" s="1086"/>
    </row>
    <row r="61" spans="3:23" x14ac:dyDescent="0.3">
      <c r="N61" s="1086"/>
    </row>
  </sheetData>
  <mergeCells count="28">
    <mergeCell ref="N32:N35"/>
    <mergeCell ref="B3:D3"/>
    <mergeCell ref="Y3:Z3"/>
    <mergeCell ref="B4:D4"/>
    <mergeCell ref="Y4:Z4"/>
    <mergeCell ref="B5:B20"/>
    <mergeCell ref="C5:D5"/>
    <mergeCell ref="Y5:Z5"/>
    <mergeCell ref="C6:C8"/>
    <mergeCell ref="C9:C11"/>
    <mergeCell ref="C12:C15"/>
    <mergeCell ref="C16:C19"/>
    <mergeCell ref="C49:D49"/>
    <mergeCell ref="Y6:Y25"/>
    <mergeCell ref="Y27:Y31"/>
    <mergeCell ref="Y33:Y35"/>
    <mergeCell ref="B21:B23"/>
    <mergeCell ref="C21:D21"/>
    <mergeCell ref="B24:B28"/>
    <mergeCell ref="C24:C28"/>
    <mergeCell ref="E32:E35"/>
    <mergeCell ref="D30:D31"/>
    <mergeCell ref="E30:E31"/>
    <mergeCell ref="W30:W31"/>
    <mergeCell ref="N30:N31"/>
    <mergeCell ref="B30:C35"/>
    <mergeCell ref="D32:D35"/>
    <mergeCell ref="W32:W35"/>
  </mergeCells>
  <phoneticPr fontId="53" type="noConversion"/>
  <printOptions horizontalCentered="1"/>
  <pageMargins left="0.27541667222976685" right="0.27541667222976685" top="0.6691666841506958" bottom="0.47236111760139465" header="0.43291667103767395" footer="0.31486111879348755"/>
  <pageSetup paperSize="9" scale="90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FFFFFF"/>
    <pageSetUpPr fitToPage="1"/>
  </sheetPr>
  <dimension ref="B16:S16"/>
  <sheetViews>
    <sheetView showGridLines="0" view="pageBreakPreview" zoomScale="75" zoomScaleNormal="100" zoomScaleSheetLayoutView="75" workbookViewId="0">
      <selection activeCell="H25" sqref="H25"/>
    </sheetView>
  </sheetViews>
  <sheetFormatPr defaultColWidth="9" defaultRowHeight="13.5" x14ac:dyDescent="0.3"/>
  <cols>
    <col min="1" max="1" width="0.125" style="1025" customWidth="1"/>
    <col min="2" max="2" width="8" style="1025" customWidth="1"/>
    <col min="3" max="3" width="6.75" style="1025" customWidth="1"/>
    <col min="4" max="4" width="6.25" style="1025" customWidth="1"/>
    <col min="5" max="5" width="12.75" style="1025" customWidth="1"/>
    <col min="6" max="6" width="11.5" style="1025" customWidth="1"/>
    <col min="7" max="7" width="13" style="1025" bestFit="1" customWidth="1"/>
    <col min="8" max="8" width="10.75" style="1025" customWidth="1"/>
    <col min="9" max="9" width="2.25" style="1025" customWidth="1"/>
    <col min="10" max="10" width="10.75" style="1025" customWidth="1"/>
    <col min="11" max="11" width="8.25" style="1025" customWidth="1"/>
    <col min="12" max="12" width="2.125" style="1025" customWidth="1"/>
    <col min="13" max="13" width="5.25" style="1025" customWidth="1"/>
    <col min="14" max="14" width="2" style="1025" customWidth="1"/>
    <col min="15" max="15" width="4.5" style="1025" customWidth="1"/>
    <col min="16" max="16" width="2.75" style="1025" customWidth="1"/>
    <col min="17" max="17" width="10.75" style="1025" customWidth="1"/>
    <col min="18" max="18" width="11.5" style="1025" customWidth="1"/>
    <col min="19" max="19" width="0.75" style="1025" customWidth="1"/>
    <col min="20" max="22" width="8.75" style="1025" customWidth="1"/>
    <col min="23" max="16384" width="9" style="1025"/>
  </cols>
  <sheetData>
    <row r="16" spans="2:19" ht="33.75" x14ac:dyDescent="0.3">
      <c r="B16" s="1872" t="s">
        <v>214</v>
      </c>
      <c r="C16" s="1872"/>
      <c r="D16" s="1872"/>
      <c r="E16" s="1872"/>
      <c r="F16" s="1872"/>
      <c r="G16" s="1872"/>
      <c r="H16" s="1872"/>
      <c r="I16" s="1872"/>
      <c r="J16" s="1872"/>
      <c r="K16" s="1872"/>
      <c r="L16" s="1872"/>
      <c r="M16" s="1872"/>
      <c r="N16" s="1872"/>
      <c r="O16" s="1872"/>
      <c r="P16" s="1872"/>
      <c r="Q16" s="1872"/>
      <c r="R16" s="1872"/>
      <c r="S16" s="1872"/>
    </row>
  </sheetData>
  <mergeCells count="1">
    <mergeCell ref="B16:S16"/>
  </mergeCells>
  <phoneticPr fontId="53" type="noConversion"/>
  <pageMargins left="0.27541667222976685" right="0.27541667222976685" top="0.74750000238418579" bottom="0.59041666984558105" header="0.43291667103767395" footer="0.31486111879348755"/>
  <pageSetup paperSize="9" fitToHeight="0" orientation="landscape" r:id="rId1"/>
  <headerFooter>
    <oddFooter>&amp;C&amp;"맑은 고딕,Regular"페이지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FFFF00"/>
    <pageSetUpPr fitToPage="1"/>
  </sheetPr>
  <dimension ref="B1:N36"/>
  <sheetViews>
    <sheetView view="pageBreakPreview" zoomScaleNormal="100" zoomScaleSheetLayoutView="100" workbookViewId="0">
      <selection activeCell="P25" sqref="P25"/>
    </sheetView>
  </sheetViews>
  <sheetFormatPr defaultColWidth="9" defaultRowHeight="13.5" x14ac:dyDescent="0.3"/>
  <cols>
    <col min="1" max="1" width="2.25" style="1025" customWidth="1"/>
    <col min="2" max="2" width="19.5" style="1025" customWidth="1"/>
    <col min="3" max="3" width="16" style="1025" customWidth="1"/>
    <col min="4" max="4" width="16.125" style="1025" customWidth="1"/>
    <col min="5" max="5" width="14.125" style="1025" customWidth="1"/>
    <col min="6" max="6" width="1.5" style="1025" customWidth="1"/>
    <col min="7" max="8" width="10.625" style="1025" customWidth="1"/>
    <col min="9" max="9" width="16.75" style="1025" customWidth="1"/>
    <col min="10" max="10" width="11.625" style="1025" customWidth="1"/>
    <col min="11" max="12" width="10.625" style="1025" customWidth="1"/>
    <col min="13" max="16384" width="9" style="1025"/>
  </cols>
  <sheetData>
    <row r="1" spans="2:14" ht="17.100000000000001" customHeight="1" x14ac:dyDescent="0.3">
      <c r="B1" s="1139" t="s">
        <v>214</v>
      </c>
      <c r="C1" s="1139"/>
      <c r="D1" s="1139"/>
      <c r="E1" s="1139"/>
    </row>
    <row r="2" spans="2:14" ht="17.100000000000001" customHeight="1" x14ac:dyDescent="0.3">
      <c r="B2" s="1942" t="s">
        <v>372</v>
      </c>
      <c r="C2" s="1943"/>
      <c r="D2" s="1943"/>
      <c r="E2" s="1943"/>
      <c r="F2" s="1140"/>
      <c r="G2" s="1944" t="s">
        <v>50</v>
      </c>
      <c r="H2" s="1945"/>
      <c r="I2" s="1945"/>
      <c r="J2" s="1945"/>
      <c r="K2" s="1945"/>
      <c r="L2" s="1945"/>
    </row>
    <row r="3" spans="2:14" ht="17.100000000000001" customHeight="1" x14ac:dyDescent="0.3">
      <c r="B3" s="1141"/>
      <c r="C3" s="1141"/>
      <c r="D3" s="1141"/>
      <c r="E3" s="1141"/>
      <c r="F3" s="1140"/>
      <c r="G3" s="1945" t="s">
        <v>13</v>
      </c>
      <c r="H3" s="1945"/>
      <c r="I3" s="1945"/>
      <c r="J3" s="1945"/>
      <c r="K3" s="1945"/>
      <c r="L3" s="1945"/>
    </row>
    <row r="4" spans="2:14" ht="17.100000000000001" customHeight="1" x14ac:dyDescent="0.3">
      <c r="B4" s="1942" t="s">
        <v>376</v>
      </c>
      <c r="C4" s="1943"/>
      <c r="D4" s="1943"/>
      <c r="E4" s="1943"/>
      <c r="F4" s="1140"/>
      <c r="G4" s="1142"/>
      <c r="H4" s="1142"/>
      <c r="I4" s="1142"/>
      <c r="J4" s="1142"/>
      <c r="K4" s="1142"/>
      <c r="L4" s="1143" t="s">
        <v>639</v>
      </c>
    </row>
    <row r="5" spans="2:14" ht="17.100000000000001" customHeight="1" x14ac:dyDescent="0.3">
      <c r="B5" s="1144" t="s">
        <v>772</v>
      </c>
      <c r="C5" s="1141"/>
      <c r="D5" s="1145">
        <f>'3-4. 수입예산 성질별 총괄표(완료)'!F8</f>
        <v>940000000</v>
      </c>
      <c r="E5" s="1141" t="s">
        <v>94</v>
      </c>
      <c r="F5" s="1140"/>
      <c r="G5" s="1146" t="s">
        <v>73</v>
      </c>
      <c r="H5" s="1147" t="s">
        <v>123</v>
      </c>
      <c r="I5" s="1147" t="s">
        <v>56</v>
      </c>
      <c r="J5" s="1147" t="s">
        <v>100</v>
      </c>
      <c r="K5" s="1147" t="s">
        <v>60</v>
      </c>
      <c r="L5" s="1148" t="s">
        <v>129</v>
      </c>
    </row>
    <row r="6" spans="2:14" ht="17.100000000000001" customHeight="1" x14ac:dyDescent="0.3">
      <c r="B6" s="1144" t="s">
        <v>791</v>
      </c>
      <c r="C6" s="1141"/>
      <c r="D6" s="1145">
        <f>'3-4. 수입예산 성질별 총괄표(완료)'!F11+'3-4. 수입예산 성질별 총괄표(완료)'!F14+'3-4. 수입예산 성질별 총괄표(완료)'!F45+'3-4. 수입예산 성질별 총괄표(완료)'!F48</f>
        <v>4300000000</v>
      </c>
      <c r="E6" s="1141" t="s">
        <v>94</v>
      </c>
      <c r="F6" s="1140"/>
      <c r="G6" s="1946" t="s">
        <v>301</v>
      </c>
      <c r="H6" s="1949" t="s">
        <v>343</v>
      </c>
      <c r="I6" s="1949" t="s">
        <v>419</v>
      </c>
      <c r="J6" s="1952">
        <v>271888000</v>
      </c>
      <c r="K6" s="1149" t="s">
        <v>331</v>
      </c>
      <c r="L6" s="1150">
        <f>'별첨7-2.계속비설명서(완료)'!G5</f>
        <v>234181680</v>
      </c>
    </row>
    <row r="7" spans="2:14" ht="17.100000000000001" customHeight="1" x14ac:dyDescent="0.3">
      <c r="B7" s="1144" t="s">
        <v>776</v>
      </c>
      <c r="C7" s="1141"/>
      <c r="D7" s="1145">
        <f>'3-4. 수입예산 성질별 총괄표(완료)'!F5-'2.예산총칙(완료)'!D5-'2.예산총칙(완료)'!D6</f>
        <v>100000000</v>
      </c>
      <c r="E7" s="1141" t="s">
        <v>94</v>
      </c>
      <c r="F7" s="1140"/>
      <c r="G7" s="1947"/>
      <c r="H7" s="1950"/>
      <c r="I7" s="1950"/>
      <c r="J7" s="1953"/>
      <c r="K7" s="1151" t="s">
        <v>134</v>
      </c>
      <c r="L7" s="1152">
        <f>'별첨7-2.계속비설명서(완료)'!K5</f>
        <v>30481599</v>
      </c>
    </row>
    <row r="8" spans="2:14" ht="17.100000000000001" customHeight="1" x14ac:dyDescent="0.3">
      <c r="B8" s="1153"/>
      <c r="C8" s="1154"/>
      <c r="D8" s="1155"/>
      <c r="E8" s="1154"/>
      <c r="F8" s="1140"/>
      <c r="G8" s="1947"/>
      <c r="H8" s="1950"/>
      <c r="I8" s="1950"/>
      <c r="J8" s="1953"/>
      <c r="K8" s="1151" t="s">
        <v>351</v>
      </c>
      <c r="L8" s="1152">
        <f>'별첨7-2.계속비설명서(완료)'!M5</f>
        <v>7224721</v>
      </c>
    </row>
    <row r="9" spans="2:14" ht="17.100000000000001" customHeight="1" x14ac:dyDescent="0.3">
      <c r="B9" s="1156" t="s">
        <v>373</v>
      </c>
      <c r="C9" s="1141"/>
      <c r="D9" s="1141"/>
      <c r="E9" s="1141"/>
      <c r="F9" s="1140"/>
      <c r="G9" s="1948"/>
      <c r="H9" s="1951"/>
      <c r="I9" s="1951"/>
      <c r="J9" s="1954"/>
      <c r="K9" s="1157" t="s">
        <v>545</v>
      </c>
      <c r="L9" s="1586" t="s">
        <v>71</v>
      </c>
    </row>
    <row r="10" spans="2:14" ht="17.100000000000001" customHeight="1" x14ac:dyDescent="0.3">
      <c r="B10" s="1158"/>
      <c r="C10" s="1158"/>
      <c r="D10" s="1158"/>
      <c r="E10" s="1143" t="s">
        <v>639</v>
      </c>
      <c r="F10" s="1140"/>
      <c r="G10" s="1159"/>
      <c r="H10" s="1159"/>
      <c r="I10" s="1159"/>
      <c r="J10" s="1160"/>
      <c r="K10" s="1161"/>
      <c r="L10" s="1162"/>
    </row>
    <row r="11" spans="2:14" ht="17.100000000000001" customHeight="1" x14ac:dyDescent="0.3">
      <c r="B11" s="1914" t="s">
        <v>297</v>
      </c>
      <c r="C11" s="1915"/>
      <c r="D11" s="1915" t="s">
        <v>296</v>
      </c>
      <c r="E11" s="1930"/>
      <c r="F11" s="1140"/>
      <c r="H11" s="1163"/>
      <c r="I11" s="1164"/>
      <c r="J11" s="1165"/>
      <c r="K11" s="1166"/>
      <c r="L11" s="1167"/>
    </row>
    <row r="12" spans="2:14" ht="17.100000000000001" customHeight="1" x14ac:dyDescent="0.3">
      <c r="B12" s="1168" t="s">
        <v>47</v>
      </c>
      <c r="C12" s="1169" t="s">
        <v>335</v>
      </c>
      <c r="D12" s="1169" t="s">
        <v>47</v>
      </c>
      <c r="E12" s="1170" t="s">
        <v>744</v>
      </c>
      <c r="F12" s="1140"/>
      <c r="G12" s="1156" t="s">
        <v>51</v>
      </c>
      <c r="H12" s="1171"/>
      <c r="I12" s="1158"/>
      <c r="J12" s="1172"/>
      <c r="K12" s="1142"/>
      <c r="L12" s="1173"/>
    </row>
    <row r="13" spans="2:14" ht="17.100000000000001" customHeight="1" x14ac:dyDescent="0.3">
      <c r="B13" s="1174" t="s">
        <v>761</v>
      </c>
      <c r="C13" s="1175">
        <f>SUM(C14:C15)</f>
        <v>1340000000</v>
      </c>
      <c r="D13" s="1176" t="s">
        <v>455</v>
      </c>
      <c r="E13" s="1177">
        <f>SUM(E14,E15,E16)</f>
        <v>26426013407</v>
      </c>
      <c r="F13" s="1140"/>
      <c r="G13" s="1171"/>
      <c r="H13" s="1171"/>
      <c r="I13" s="1158"/>
      <c r="J13" s="1172"/>
      <c r="K13" s="1178"/>
      <c r="L13" s="1179"/>
    </row>
    <row r="14" spans="2:14" ht="17.100000000000001" customHeight="1" x14ac:dyDescent="0.3">
      <c r="B14" s="1180" t="s">
        <v>607</v>
      </c>
      <c r="C14" s="1181">
        <f>'3-1.예산총괄표(완료)'!C5</f>
        <v>1340000000</v>
      </c>
      <c r="D14" s="1182" t="s">
        <v>45</v>
      </c>
      <c r="E14" s="1183">
        <f>'3-1.예산총괄표(완료)'!C17</f>
        <v>26426013407</v>
      </c>
      <c r="F14" s="1140"/>
      <c r="G14" s="1156" t="s">
        <v>12</v>
      </c>
      <c r="H14" s="1184"/>
      <c r="I14" s="1184"/>
      <c r="J14" s="1184"/>
      <c r="K14" s="1184"/>
      <c r="L14" s="1179"/>
    </row>
    <row r="15" spans="2:14" ht="17.100000000000001" customHeight="1" x14ac:dyDescent="0.3">
      <c r="B15" s="1185" t="s">
        <v>43</v>
      </c>
      <c r="C15" s="1186">
        <f>'3-1.예산총괄표(완료)'!C6</f>
        <v>0</v>
      </c>
      <c r="D15" s="1187" t="s">
        <v>48</v>
      </c>
      <c r="E15" s="1188"/>
      <c r="F15" s="1140"/>
      <c r="G15" s="1144" t="s">
        <v>781</v>
      </c>
      <c r="H15" s="1184"/>
      <c r="I15" s="1184"/>
      <c r="J15" s="1184"/>
      <c r="K15" s="1184"/>
      <c r="L15" s="1144"/>
    </row>
    <row r="16" spans="2:14" ht="17.100000000000001" customHeight="1" x14ac:dyDescent="0.3">
      <c r="B16" s="1189"/>
      <c r="C16" s="1190"/>
      <c r="D16" s="1191" t="s">
        <v>93</v>
      </c>
      <c r="E16" s="1192"/>
      <c r="F16" s="1140"/>
      <c r="G16" s="1144" t="s">
        <v>3</v>
      </c>
      <c r="H16" s="1184"/>
      <c r="I16" s="1193"/>
      <c r="J16" s="1194">
        <f>'3-5.지출예산 성질별총괄표(완료)'!F8</f>
        <v>10495421913</v>
      </c>
      <c r="K16" s="1184" t="s">
        <v>94</v>
      </c>
      <c r="L16" s="1141"/>
      <c r="N16" s="1195"/>
    </row>
    <row r="17" spans="2:14" ht="17.100000000000001" customHeight="1" x14ac:dyDescent="0.3">
      <c r="B17" s="594"/>
      <c r="C17" s="594"/>
      <c r="D17" s="594"/>
      <c r="E17" s="594"/>
      <c r="F17" s="1140"/>
      <c r="G17" s="1144" t="s">
        <v>31</v>
      </c>
      <c r="H17" s="1184"/>
      <c r="I17" s="1193"/>
      <c r="J17" s="1194">
        <f>'3-5.지출예산 성질별총괄표(완료)'!F22</f>
        <v>71100000</v>
      </c>
      <c r="K17" s="1184" t="s">
        <v>94</v>
      </c>
      <c r="L17" s="1184"/>
      <c r="N17" s="1112"/>
    </row>
    <row r="18" spans="2:14" ht="17.100000000000001" customHeight="1" x14ac:dyDescent="0.3">
      <c r="B18" s="1144" t="s">
        <v>14</v>
      </c>
      <c r="C18" s="594"/>
      <c r="D18" s="594"/>
      <c r="E18" s="594"/>
      <c r="F18" s="1140"/>
      <c r="G18" s="1144" t="s">
        <v>396</v>
      </c>
      <c r="H18" s="1184"/>
      <c r="I18" s="1193"/>
      <c r="J18" s="1194">
        <f>'3-5.지출예산 성질별총괄표(완료)'!F61</f>
        <v>3129212000</v>
      </c>
      <c r="K18" s="1184" t="s">
        <v>94</v>
      </c>
      <c r="L18" s="1184"/>
    </row>
    <row r="19" spans="2:14" ht="17.100000000000001" customHeight="1" x14ac:dyDescent="0.3">
      <c r="B19" s="594"/>
      <c r="C19" s="594"/>
      <c r="D19" s="594"/>
      <c r="E19" s="1143" t="s">
        <v>639</v>
      </c>
      <c r="F19" s="1140"/>
      <c r="G19" s="594"/>
      <c r="H19" s="594"/>
      <c r="I19" s="594"/>
      <c r="J19" s="594"/>
      <c r="K19" s="594"/>
      <c r="L19" s="1184"/>
    </row>
    <row r="20" spans="2:14" ht="17.100000000000001" customHeight="1" x14ac:dyDescent="0.3">
      <c r="B20" s="1914" t="s">
        <v>255</v>
      </c>
      <c r="C20" s="1915"/>
      <c r="D20" s="1915" t="s">
        <v>314</v>
      </c>
      <c r="E20" s="1930"/>
      <c r="F20" s="1140"/>
      <c r="G20" s="1156" t="s">
        <v>18</v>
      </c>
      <c r="H20" s="594"/>
      <c r="I20" s="594"/>
      <c r="J20" s="594"/>
      <c r="K20" s="594"/>
      <c r="L20" s="1184"/>
    </row>
    <row r="21" spans="2:14" ht="17.100000000000001" customHeight="1" x14ac:dyDescent="0.3">
      <c r="B21" s="1196" t="s">
        <v>47</v>
      </c>
      <c r="C21" s="1197" t="s">
        <v>335</v>
      </c>
      <c r="D21" s="1197" t="s">
        <v>47</v>
      </c>
      <c r="E21" s="1198" t="s">
        <v>744</v>
      </c>
      <c r="F21" s="1140"/>
      <c r="G21" s="1179">
        <f>'3-4. 수입예산 성질별 총괄표(완료)'!F16+'3-4. 수입예산 성질별 총괄표(완료)'!F47+'3-4. 수입예산 성질별 총괄표(완료)'!F49</f>
        <v>4000000000</v>
      </c>
      <c r="H21" s="1184" t="s">
        <v>282</v>
      </c>
      <c r="I21" s="594"/>
      <c r="J21" s="594"/>
      <c r="K21" s="594"/>
      <c r="L21" s="1184"/>
    </row>
    <row r="22" spans="2:14" ht="17.100000000000001" customHeight="1" x14ac:dyDescent="0.3">
      <c r="B22" s="1199" t="s">
        <v>448</v>
      </c>
      <c r="C22" s="1200">
        <f>SUM(C23:C29)</f>
        <v>4000000000</v>
      </c>
      <c r="D22" s="1201" t="s">
        <v>448</v>
      </c>
      <c r="E22" s="1202">
        <f>SUM(E23:E29)</f>
        <v>5646162000</v>
      </c>
      <c r="F22" s="1140"/>
      <c r="G22" s="1203"/>
      <c r="H22" s="1204"/>
      <c r="I22" s="1204"/>
      <c r="J22" s="1205"/>
      <c r="K22" s="1204"/>
      <c r="L22" s="1204"/>
    </row>
    <row r="23" spans="2:14" ht="17.100000000000001" customHeight="1" x14ac:dyDescent="0.3">
      <c r="B23" s="1206" t="s">
        <v>759</v>
      </c>
      <c r="C23" s="1207"/>
      <c r="D23" s="1208" t="s">
        <v>759</v>
      </c>
      <c r="E23" s="1209"/>
      <c r="F23" s="1140"/>
      <c r="G23" s="1156" t="s">
        <v>369</v>
      </c>
      <c r="H23" s="1184"/>
      <c r="I23" s="1184"/>
      <c r="J23" s="1184"/>
      <c r="K23" s="1184"/>
      <c r="L23" s="1184"/>
    </row>
    <row r="24" spans="2:14" ht="17.100000000000001" customHeight="1" x14ac:dyDescent="0.3">
      <c r="B24" s="1206" t="s">
        <v>446</v>
      </c>
      <c r="C24" s="1207"/>
      <c r="D24" s="1208" t="s">
        <v>745</v>
      </c>
      <c r="E24" s="1209">
        <f>'3-1.예산총괄표(완료)'!E25</f>
        <v>5488662000</v>
      </c>
      <c r="F24" s="1140"/>
      <c r="G24" s="1144" t="s">
        <v>17</v>
      </c>
      <c r="H24" s="594"/>
      <c r="I24" s="1178"/>
      <c r="J24" s="594"/>
      <c r="K24" s="594"/>
      <c r="L24" s="1184"/>
    </row>
    <row r="25" spans="2:14" ht="17.100000000000001" customHeight="1" x14ac:dyDescent="0.3">
      <c r="B25" s="1206" t="s">
        <v>762</v>
      </c>
      <c r="C25" s="1207"/>
      <c r="D25" s="1208" t="s">
        <v>451</v>
      </c>
      <c r="E25" s="1209">
        <f>'3-1.예산총괄표(완료)'!E26</f>
        <v>155500000</v>
      </c>
      <c r="F25" s="1140"/>
      <c r="G25" s="594"/>
      <c r="H25" s="594"/>
      <c r="I25" s="594"/>
      <c r="J25" s="594"/>
      <c r="K25" s="594"/>
      <c r="L25" s="1143" t="s">
        <v>639</v>
      </c>
    </row>
    <row r="26" spans="2:14" ht="17.100000000000001" customHeight="1" x14ac:dyDescent="0.3">
      <c r="B26" s="1206" t="s">
        <v>250</v>
      </c>
      <c r="C26" s="1207"/>
      <c r="D26" s="1208" t="s">
        <v>677</v>
      </c>
      <c r="E26" s="1209">
        <f>'3-1.예산총괄표(완료)'!E27</f>
        <v>2000000</v>
      </c>
      <c r="F26" s="1140"/>
      <c r="G26" s="1210" t="s">
        <v>298</v>
      </c>
      <c r="H26" s="1211" t="s">
        <v>277</v>
      </c>
      <c r="I26" s="1931" t="s">
        <v>678</v>
      </c>
      <c r="J26" s="1932"/>
      <c r="K26" s="1211" t="s">
        <v>268</v>
      </c>
      <c r="L26" s="1212" t="s">
        <v>280</v>
      </c>
    </row>
    <row r="27" spans="2:14" ht="17.100000000000001" customHeight="1" x14ac:dyDescent="0.3">
      <c r="B27" s="1206" t="s">
        <v>672</v>
      </c>
      <c r="C27" s="1207">
        <f>'3-1.예산총괄표(완료)'!E12</f>
        <v>4000000000</v>
      </c>
      <c r="D27" s="1208" t="s">
        <v>760</v>
      </c>
      <c r="E27" s="1209"/>
      <c r="F27" s="1140"/>
      <c r="G27" s="1933" t="s">
        <v>306</v>
      </c>
      <c r="H27" s="1213" t="s">
        <v>75</v>
      </c>
      <c r="I27" s="1936" t="s">
        <v>432</v>
      </c>
      <c r="J27" s="1937"/>
      <c r="K27" s="1213">
        <v>7</v>
      </c>
      <c r="L27" s="1214">
        <v>5094383000</v>
      </c>
    </row>
    <row r="28" spans="2:14" ht="17.100000000000001" customHeight="1" x14ac:dyDescent="0.3">
      <c r="B28" s="1215" t="s">
        <v>474</v>
      </c>
      <c r="C28" s="1207"/>
      <c r="D28" s="1208" t="s">
        <v>44</v>
      </c>
      <c r="E28" s="1209"/>
      <c r="F28" s="1140"/>
      <c r="G28" s="1934"/>
      <c r="H28" s="1213" t="s">
        <v>195</v>
      </c>
      <c r="I28" s="1938" t="s">
        <v>774</v>
      </c>
      <c r="J28" s="1939"/>
      <c r="K28" s="1213">
        <v>19</v>
      </c>
      <c r="L28" s="1214">
        <v>7678218000</v>
      </c>
    </row>
    <row r="29" spans="2:14" ht="17.100000000000001" customHeight="1" x14ac:dyDescent="0.3">
      <c r="B29" s="1216" t="s">
        <v>601</v>
      </c>
      <c r="C29" s="1217"/>
      <c r="D29" s="1218" t="s">
        <v>333</v>
      </c>
      <c r="E29" s="1219"/>
      <c r="F29" s="1140"/>
      <c r="G29" s="1934"/>
      <c r="H29" s="1213" t="s">
        <v>209</v>
      </c>
      <c r="I29" s="1940" t="s">
        <v>303</v>
      </c>
      <c r="J29" s="1941"/>
      <c r="K29" s="1213">
        <v>1</v>
      </c>
      <c r="L29" s="1214">
        <v>60000000</v>
      </c>
    </row>
    <row r="30" spans="2:14" ht="17.100000000000001" customHeight="1" x14ac:dyDescent="0.3">
      <c r="F30" s="1140"/>
      <c r="G30" s="1934"/>
      <c r="H30" s="1220" t="s">
        <v>211</v>
      </c>
      <c r="I30" s="1940" t="s">
        <v>536</v>
      </c>
      <c r="J30" s="1941"/>
      <c r="K30" s="1220">
        <v>1</v>
      </c>
      <c r="L30" s="1221">
        <v>50000000</v>
      </c>
    </row>
    <row r="31" spans="2:14" ht="17.100000000000001" customHeight="1" x14ac:dyDescent="0.3">
      <c r="F31" s="1140"/>
      <c r="G31" s="1935"/>
      <c r="H31" s="1222" t="s">
        <v>350</v>
      </c>
      <c r="I31" s="1928" t="s">
        <v>560</v>
      </c>
      <c r="J31" s="1929"/>
      <c r="K31" s="1222">
        <v>42</v>
      </c>
      <c r="L31" s="1223">
        <v>176000000</v>
      </c>
    </row>
    <row r="32" spans="2:14" ht="15" customHeight="1" x14ac:dyDescent="0.3">
      <c r="F32" s="1140"/>
      <c r="K32" s="1224">
        <f>SUM(K27:K31)</f>
        <v>70</v>
      </c>
      <c r="L32" s="1059">
        <f>SUM(L27:L31)</f>
        <v>13058601000</v>
      </c>
    </row>
    <row r="33" spans="11:12" ht="17.25" customHeight="1" x14ac:dyDescent="0.3"/>
    <row r="35" spans="11:12" x14ac:dyDescent="0.3">
      <c r="K35" s="1225">
        <f>SUM(K27:K31)</f>
        <v>70</v>
      </c>
      <c r="L35" s="1059">
        <f>SUM(L27:L31)</f>
        <v>13058601000</v>
      </c>
    </row>
    <row r="36" spans="11:12" ht="16.5" x14ac:dyDescent="0.3">
      <c r="L36" s="1226"/>
    </row>
  </sheetData>
  <mergeCells count="19">
    <mergeCell ref="B2:E2"/>
    <mergeCell ref="G2:L2"/>
    <mergeCell ref="G3:L3"/>
    <mergeCell ref="B4:E4"/>
    <mergeCell ref="G6:G9"/>
    <mergeCell ref="H6:H9"/>
    <mergeCell ref="I6:I9"/>
    <mergeCell ref="J6:J9"/>
    <mergeCell ref="I31:J31"/>
    <mergeCell ref="B11:C11"/>
    <mergeCell ref="D11:E11"/>
    <mergeCell ref="B20:C20"/>
    <mergeCell ref="D20:E20"/>
    <mergeCell ref="I26:J26"/>
    <mergeCell ref="G27:G31"/>
    <mergeCell ref="I27:J27"/>
    <mergeCell ref="I28:J28"/>
    <mergeCell ref="I29:J29"/>
    <mergeCell ref="I30:J30"/>
  </mergeCells>
  <phoneticPr fontId="53" type="noConversion"/>
  <printOptions horizontalCentered="1"/>
  <pageMargins left="0.27541667222976685" right="0.27541667222976685" top="0.6691666841506958" bottom="0.47236111760139465" header="0.43291667103767395" footer="0.31486111879348755"/>
  <pageSetup paperSize="9" scale="94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FFFFFF"/>
    <pageSetUpPr fitToPage="1"/>
  </sheetPr>
  <dimension ref="B16:S16"/>
  <sheetViews>
    <sheetView showGridLines="0" view="pageBreakPreview" topLeftCell="C1" zoomScale="75" zoomScaleNormal="100" zoomScaleSheetLayoutView="75" workbookViewId="0">
      <selection activeCell="Q52" sqref="Q52"/>
    </sheetView>
  </sheetViews>
  <sheetFormatPr defaultColWidth="9" defaultRowHeight="13.5" x14ac:dyDescent="0.3"/>
  <cols>
    <col min="1" max="1" width="0.125" style="1025" customWidth="1"/>
    <col min="2" max="2" width="8" style="1025" customWidth="1"/>
    <col min="3" max="3" width="6.75" style="1025" customWidth="1"/>
    <col min="4" max="4" width="6.25" style="1025" customWidth="1"/>
    <col min="5" max="5" width="12.75" style="1025" customWidth="1"/>
    <col min="6" max="6" width="11.5" style="1025" customWidth="1"/>
    <col min="7" max="7" width="13" style="1025" bestFit="1" customWidth="1"/>
    <col min="8" max="8" width="10.75" style="1025" customWidth="1"/>
    <col min="9" max="9" width="2.25" style="1025" customWidth="1"/>
    <col min="10" max="10" width="10.75" style="1025" customWidth="1"/>
    <col min="11" max="11" width="8.25" style="1025" customWidth="1"/>
    <col min="12" max="12" width="2.125" style="1025" customWidth="1"/>
    <col min="13" max="13" width="5.25" style="1025" customWidth="1"/>
    <col min="14" max="14" width="2" style="1025" customWidth="1"/>
    <col min="15" max="15" width="4.5" style="1025" customWidth="1"/>
    <col min="16" max="16" width="2.75" style="1025" customWidth="1"/>
    <col min="17" max="17" width="10.75" style="1025" customWidth="1"/>
    <col min="18" max="18" width="11.5" style="1025" customWidth="1"/>
    <col min="19" max="19" width="0.75" style="1025" customWidth="1"/>
    <col min="20" max="22" width="8.75" style="1025" customWidth="1"/>
    <col min="23" max="16384" width="9" style="1025"/>
  </cols>
  <sheetData>
    <row r="16" spans="2:19" ht="33.75" x14ac:dyDescent="0.3">
      <c r="B16" s="1872" t="s">
        <v>726</v>
      </c>
      <c r="C16" s="1872"/>
      <c r="D16" s="1872"/>
      <c r="E16" s="1872"/>
      <c r="F16" s="1872"/>
      <c r="G16" s="1872"/>
      <c r="H16" s="1872"/>
      <c r="I16" s="1872"/>
      <c r="J16" s="1872"/>
      <c r="K16" s="1872"/>
      <c r="L16" s="1872"/>
      <c r="M16" s="1872"/>
      <c r="N16" s="1872"/>
      <c r="O16" s="1872"/>
      <c r="P16" s="1872"/>
      <c r="Q16" s="1872"/>
      <c r="R16" s="1872"/>
      <c r="S16" s="1872"/>
    </row>
  </sheetData>
  <mergeCells count="1">
    <mergeCell ref="B16:S16"/>
  </mergeCells>
  <phoneticPr fontId="53" type="noConversion"/>
  <pageMargins left="0.27541667222976685" right="0.27541667222976685" top="0.74750000238418579" bottom="0.59041666984558105" header="0.43291667103767395" footer="0.31486111879348755"/>
  <pageSetup paperSize="9" fitToHeight="0" orientation="landscape" r:id="rId1"/>
  <headerFooter>
    <oddFooter>&amp;C&amp;"맑은 고딕,Regular"페이지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FFFFFF"/>
    <pageSetUpPr fitToPage="1"/>
  </sheetPr>
  <dimension ref="B1:H33"/>
  <sheetViews>
    <sheetView view="pageBreakPreview" zoomScale="115" zoomScaleNormal="100" zoomScaleSheetLayoutView="115" workbookViewId="0">
      <pane xSplit="2" topLeftCell="C1" activePane="topRight" state="frozen"/>
      <selection pane="topRight" activeCell="D21" sqref="D21"/>
    </sheetView>
  </sheetViews>
  <sheetFormatPr defaultColWidth="9" defaultRowHeight="13.5" x14ac:dyDescent="0.3"/>
  <cols>
    <col min="1" max="1" width="1.5" style="1025" customWidth="1"/>
    <col min="2" max="2" width="21" style="1025" customWidth="1"/>
    <col min="3" max="3" width="17.125" style="1025" customWidth="1"/>
    <col min="4" max="4" width="25" style="1025" customWidth="1"/>
    <col min="5" max="5" width="16.5" style="1025" customWidth="1"/>
    <col min="6" max="6" width="22.625" style="1025" customWidth="1"/>
    <col min="7" max="7" width="20.75" style="1025" customWidth="1"/>
    <col min="8" max="8" width="17.125" style="1086" bestFit="1" customWidth="1"/>
    <col min="9" max="16384" width="9" style="1025"/>
  </cols>
  <sheetData>
    <row r="1" spans="2:7" ht="22.5" customHeight="1" x14ac:dyDescent="0.3">
      <c r="B1" s="1227" t="s">
        <v>753</v>
      </c>
      <c r="G1" s="1027"/>
    </row>
    <row r="2" spans="2:7" ht="17.25" customHeight="1" x14ac:dyDescent="0.3">
      <c r="B2" s="1228"/>
      <c r="G2" s="1027" t="s">
        <v>639</v>
      </c>
    </row>
    <row r="3" spans="2:7" ht="16.5" customHeight="1" x14ac:dyDescent="0.3">
      <c r="B3" s="1914" t="s">
        <v>443</v>
      </c>
      <c r="C3" s="1915"/>
      <c r="D3" s="1915" t="s">
        <v>412</v>
      </c>
      <c r="E3" s="1915"/>
      <c r="F3" s="1915" t="s">
        <v>435</v>
      </c>
      <c r="G3" s="1930"/>
    </row>
    <row r="4" spans="2:7" ht="18.75" customHeight="1" x14ac:dyDescent="0.3">
      <c r="B4" s="1199" t="s">
        <v>748</v>
      </c>
      <c r="C4" s="1229">
        <f>SUM(C5:C15)</f>
        <v>1340000000</v>
      </c>
      <c r="D4" s="1201" t="s">
        <v>675</v>
      </c>
      <c r="E4" s="1229">
        <f>SUM(E5:E14)</f>
        <v>4000000000</v>
      </c>
      <c r="F4" s="1201" t="s">
        <v>674</v>
      </c>
      <c r="G4" s="1230">
        <f>SUM(G5:G14)</f>
        <v>5340000000</v>
      </c>
    </row>
    <row r="5" spans="2:7" ht="15" customHeight="1" x14ac:dyDescent="0.3">
      <c r="B5" s="1231" t="s">
        <v>340</v>
      </c>
      <c r="C5" s="1232">
        <f>'3-2.사업예산총괄표(완료)'!D5</f>
        <v>1340000000</v>
      </c>
      <c r="D5" s="1233"/>
      <c r="E5" s="1232"/>
      <c r="F5" s="1233" t="s">
        <v>340</v>
      </c>
      <c r="G5" s="1234">
        <f>C5</f>
        <v>1340000000</v>
      </c>
    </row>
    <row r="6" spans="2:7" ht="15" customHeight="1" x14ac:dyDescent="0.3">
      <c r="B6" s="1235" t="s">
        <v>149</v>
      </c>
      <c r="C6" s="1236">
        <f>'3-2.사업예산총괄표(완료)'!D14</f>
        <v>0</v>
      </c>
      <c r="D6" s="1237"/>
      <c r="E6" s="1236"/>
      <c r="F6" s="1237" t="s">
        <v>149</v>
      </c>
      <c r="G6" s="1238">
        <f>C6</f>
        <v>0</v>
      </c>
    </row>
    <row r="7" spans="2:7" ht="15" customHeight="1" x14ac:dyDescent="0.3">
      <c r="B7" s="1235" t="s">
        <v>323</v>
      </c>
      <c r="C7" s="1236">
        <f>'3-2.사업예산총괄표(완료)'!D21</f>
        <v>0</v>
      </c>
      <c r="D7" s="1237"/>
      <c r="E7" s="1236"/>
      <c r="F7" s="1237" t="s">
        <v>323</v>
      </c>
      <c r="G7" s="1238">
        <f>C7</f>
        <v>0</v>
      </c>
    </row>
    <row r="8" spans="2:7" ht="15" customHeight="1" x14ac:dyDescent="0.3">
      <c r="B8" s="1235"/>
      <c r="C8" s="1236"/>
      <c r="D8" s="1237" t="s">
        <v>131</v>
      </c>
      <c r="E8" s="1236">
        <f>'3-3.자본예산총괄표(완료)'!D5</f>
        <v>0</v>
      </c>
      <c r="F8" s="1237" t="s">
        <v>131</v>
      </c>
      <c r="G8" s="1238">
        <f>E8</f>
        <v>0</v>
      </c>
    </row>
    <row r="9" spans="2:7" ht="15" customHeight="1" x14ac:dyDescent="0.3">
      <c r="B9" s="1235"/>
      <c r="C9" s="1236"/>
      <c r="D9" s="1237" t="s">
        <v>659</v>
      </c>
      <c r="E9" s="1236">
        <f>'3-3.자본예산총괄표(완료)'!D7</f>
        <v>0</v>
      </c>
      <c r="F9" s="1237" t="s">
        <v>659</v>
      </c>
      <c r="G9" s="1239">
        <f>E9</f>
        <v>0</v>
      </c>
    </row>
    <row r="10" spans="2:7" ht="15" customHeight="1" x14ac:dyDescent="0.3">
      <c r="B10" s="1235"/>
      <c r="C10" s="1236"/>
      <c r="D10" s="1237" t="s">
        <v>151</v>
      </c>
      <c r="E10" s="1236">
        <f>'3-3.자본예산총괄표(완료)'!D14</f>
        <v>0</v>
      </c>
      <c r="F10" s="1237" t="s">
        <v>324</v>
      </c>
      <c r="G10" s="1239">
        <f t="shared" ref="G10:G14" si="0">E10</f>
        <v>0</v>
      </c>
    </row>
    <row r="11" spans="2:7" ht="15" customHeight="1" x14ac:dyDescent="0.3">
      <c r="B11" s="1235"/>
      <c r="C11" s="1236"/>
      <c r="D11" s="1237" t="s">
        <v>87</v>
      </c>
      <c r="E11" s="1236">
        <f>'3-3.자본예산총괄표(완료)'!D22</f>
        <v>0</v>
      </c>
      <c r="F11" s="1237" t="s">
        <v>87</v>
      </c>
      <c r="G11" s="1239">
        <f t="shared" si="0"/>
        <v>0</v>
      </c>
    </row>
    <row r="12" spans="2:7" ht="15" customHeight="1" x14ac:dyDescent="0.3">
      <c r="B12" s="1235"/>
      <c r="C12" s="1236"/>
      <c r="D12" s="1237" t="s">
        <v>313</v>
      </c>
      <c r="E12" s="1236">
        <f>'3-3.자본예산총괄표(완료)'!D17</f>
        <v>4000000000</v>
      </c>
      <c r="F12" s="1237" t="s">
        <v>313</v>
      </c>
      <c r="G12" s="1239">
        <f t="shared" si="0"/>
        <v>4000000000</v>
      </c>
    </row>
    <row r="13" spans="2:7" ht="15" customHeight="1" x14ac:dyDescent="0.3">
      <c r="B13" s="1235"/>
      <c r="C13" s="1236"/>
      <c r="D13" s="1237" t="s">
        <v>334</v>
      </c>
      <c r="E13" s="1236">
        <f>'3-3.자본예산총괄표(완료)'!D24</f>
        <v>0</v>
      </c>
      <c r="F13" s="1237" t="s">
        <v>334</v>
      </c>
      <c r="G13" s="1239">
        <f t="shared" si="0"/>
        <v>0</v>
      </c>
    </row>
    <row r="14" spans="2:7" ht="15" customHeight="1" x14ac:dyDescent="0.3">
      <c r="B14" s="1235"/>
      <c r="C14" s="1236"/>
      <c r="D14" s="1237" t="s">
        <v>64</v>
      </c>
      <c r="E14" s="1236">
        <f>'3-3.자본예산총괄표(완료)'!D26</f>
        <v>0</v>
      </c>
      <c r="F14" s="1237" t="s">
        <v>64</v>
      </c>
      <c r="G14" s="1239">
        <f t="shared" si="0"/>
        <v>0</v>
      </c>
    </row>
    <row r="15" spans="2:7" ht="15" customHeight="1" x14ac:dyDescent="0.3">
      <c r="B15" s="1235"/>
      <c r="C15" s="1236"/>
      <c r="D15" s="1237" t="s">
        <v>489</v>
      </c>
      <c r="E15" s="1236"/>
      <c r="F15" s="1237" t="s">
        <v>489</v>
      </c>
      <c r="G15" s="1238"/>
    </row>
    <row r="16" spans="2:7" ht="19.7" customHeight="1" x14ac:dyDescent="0.3">
      <c r="B16" s="1199" t="s">
        <v>586</v>
      </c>
      <c r="C16" s="1229">
        <f>SUM(C17:C30)</f>
        <v>26426013407</v>
      </c>
      <c r="D16" s="1201" t="s">
        <v>595</v>
      </c>
      <c r="E16" s="1229">
        <f>SUM(E17:E30)</f>
        <v>5646162000</v>
      </c>
      <c r="F16" s="1201" t="s">
        <v>582</v>
      </c>
      <c r="G16" s="1230">
        <f>SUM(G17:G30)</f>
        <v>32072175407</v>
      </c>
    </row>
    <row r="17" spans="2:7" ht="15" customHeight="1" x14ac:dyDescent="0.3">
      <c r="B17" s="1231" t="s">
        <v>301</v>
      </c>
      <c r="C17" s="1232">
        <f>'3-2.사업예산총괄표(완료)'!G5</f>
        <v>26426013407</v>
      </c>
      <c r="D17" s="1233"/>
      <c r="E17" s="1232"/>
      <c r="F17" s="1233" t="s">
        <v>301</v>
      </c>
      <c r="G17" s="1234">
        <f>C17</f>
        <v>26426013407</v>
      </c>
    </row>
    <row r="18" spans="2:7" ht="15" customHeight="1" x14ac:dyDescent="0.3">
      <c r="B18" s="1235" t="s">
        <v>327</v>
      </c>
      <c r="C18" s="1236">
        <f>'3-2.사업예산총괄표(완료)'!G14</f>
        <v>0</v>
      </c>
      <c r="D18" s="1237"/>
      <c r="E18" s="1240"/>
      <c r="F18" s="1241" t="s">
        <v>327</v>
      </c>
      <c r="G18" s="1311">
        <f t="shared" ref="G18:G20" si="1">C18</f>
        <v>0</v>
      </c>
    </row>
    <row r="19" spans="2:7" ht="15" customHeight="1" x14ac:dyDescent="0.3">
      <c r="B19" s="1235" t="s">
        <v>326</v>
      </c>
      <c r="C19" s="1236">
        <f>'3-2.사업예산총괄표(완료)'!G21</f>
        <v>0</v>
      </c>
      <c r="D19" s="1237"/>
      <c r="E19" s="1240"/>
      <c r="F19" s="1241" t="s">
        <v>326</v>
      </c>
      <c r="G19" s="1311">
        <f t="shared" si="1"/>
        <v>0</v>
      </c>
    </row>
    <row r="20" spans="2:7" ht="15" customHeight="1" x14ac:dyDescent="0.3">
      <c r="B20" s="1235" t="s">
        <v>317</v>
      </c>
      <c r="C20" s="1236">
        <f>'3-2.사업예산총괄표(완료)'!G25</f>
        <v>0</v>
      </c>
      <c r="D20" s="1237"/>
      <c r="E20" s="1240"/>
      <c r="F20" s="1241" t="s">
        <v>317</v>
      </c>
      <c r="G20" s="1238">
        <f t="shared" si="1"/>
        <v>0</v>
      </c>
    </row>
    <row r="21" spans="2:7" ht="15" customHeight="1" x14ac:dyDescent="0.3">
      <c r="B21" s="1235"/>
      <c r="C21" s="1236"/>
      <c r="D21" s="1237"/>
      <c r="E21" s="1236"/>
      <c r="F21" s="1237"/>
      <c r="G21" s="1239"/>
    </row>
    <row r="22" spans="2:7" ht="15" customHeight="1" x14ac:dyDescent="0.3">
      <c r="B22" s="1235"/>
      <c r="C22" s="1236"/>
      <c r="D22" s="1237"/>
      <c r="E22" s="1236"/>
      <c r="F22" s="1237"/>
      <c r="G22" s="1238"/>
    </row>
    <row r="23" spans="2:7" ht="15" customHeight="1" x14ac:dyDescent="0.3">
      <c r="B23" s="1235"/>
      <c r="C23" s="1236"/>
      <c r="D23" s="1237"/>
      <c r="E23" s="1236"/>
      <c r="F23" s="1237"/>
      <c r="G23" s="1238"/>
    </row>
    <row r="24" spans="2:7" ht="15" customHeight="1" x14ac:dyDescent="0.3">
      <c r="B24" s="1235"/>
      <c r="C24" s="1236"/>
      <c r="D24" s="1237" t="s">
        <v>131</v>
      </c>
      <c r="E24" s="1236">
        <f>'3-3.자본예산총괄표(완료)'!G5</f>
        <v>0</v>
      </c>
      <c r="F24" s="1237" t="s">
        <v>131</v>
      </c>
      <c r="G24" s="1238">
        <f t="shared" ref="G24:G30" si="2">E24</f>
        <v>0</v>
      </c>
    </row>
    <row r="25" spans="2:7" ht="15" customHeight="1" x14ac:dyDescent="0.3">
      <c r="B25" s="1235"/>
      <c r="C25" s="1236"/>
      <c r="D25" s="1237" t="s">
        <v>322</v>
      </c>
      <c r="E25" s="1236">
        <f>'3-3.자본예산총괄표(완료)'!G7</f>
        <v>5488662000</v>
      </c>
      <c r="F25" s="1237" t="s">
        <v>322</v>
      </c>
      <c r="G25" s="1238">
        <f t="shared" si="2"/>
        <v>5488662000</v>
      </c>
    </row>
    <row r="26" spans="2:7" ht="15" customHeight="1" x14ac:dyDescent="0.3">
      <c r="B26" s="1235"/>
      <c r="C26" s="1236"/>
      <c r="D26" s="1237" t="s">
        <v>673</v>
      </c>
      <c r="E26" s="1236">
        <f>'3-3.자본예산총괄표(완료)'!G14</f>
        <v>155500000</v>
      </c>
      <c r="F26" s="1237" t="s">
        <v>320</v>
      </c>
      <c r="G26" s="1238">
        <f t="shared" si="2"/>
        <v>155500000</v>
      </c>
    </row>
    <row r="27" spans="2:7" ht="15" customHeight="1" x14ac:dyDescent="0.3">
      <c r="B27" s="1235"/>
      <c r="C27" s="1236"/>
      <c r="D27" s="1237" t="s">
        <v>339</v>
      </c>
      <c r="E27" s="1236">
        <f>'3-3.자본예산총괄표(완료)'!G24</f>
        <v>2000000</v>
      </c>
      <c r="F27" s="1237" t="s">
        <v>339</v>
      </c>
      <c r="G27" s="1238">
        <f t="shared" si="2"/>
        <v>2000000</v>
      </c>
    </row>
    <row r="28" spans="2:7" ht="15" customHeight="1" x14ac:dyDescent="0.3">
      <c r="B28" s="1235"/>
      <c r="C28" s="1236"/>
      <c r="D28" s="1237" t="s">
        <v>359</v>
      </c>
      <c r="E28" s="1236">
        <f>'3-3.자본예산총괄표(완료)'!G22</f>
        <v>0</v>
      </c>
      <c r="F28" s="1237" t="s">
        <v>359</v>
      </c>
      <c r="G28" s="1238">
        <f t="shared" si="2"/>
        <v>0</v>
      </c>
    </row>
    <row r="29" spans="2:7" ht="15" customHeight="1" x14ac:dyDescent="0.3">
      <c r="B29" s="1235"/>
      <c r="C29" s="1236"/>
      <c r="D29" s="1237" t="s">
        <v>281</v>
      </c>
      <c r="E29" s="1236">
        <f>'3-3.자본예산총괄표(완료)'!G27</f>
        <v>0</v>
      </c>
      <c r="F29" s="1237" t="s">
        <v>281</v>
      </c>
      <c r="G29" s="1238">
        <f t="shared" si="2"/>
        <v>0</v>
      </c>
    </row>
    <row r="30" spans="2:7" ht="15" customHeight="1" x14ac:dyDescent="0.3">
      <c r="B30" s="1235" t="s">
        <v>93</v>
      </c>
      <c r="C30" s="1242">
        <f>'3-2.사업예산총괄표(완료)'!G27</f>
        <v>0</v>
      </c>
      <c r="D30" s="1237" t="s">
        <v>93</v>
      </c>
      <c r="E30" s="1236">
        <f>'3-3.자본예산총괄표(완료)'!G29</f>
        <v>0</v>
      </c>
      <c r="F30" s="1237" t="s">
        <v>93</v>
      </c>
      <c r="G30" s="1238">
        <f t="shared" si="2"/>
        <v>0</v>
      </c>
    </row>
    <row r="31" spans="2:7" ht="19.7" customHeight="1" x14ac:dyDescent="0.3">
      <c r="B31" s="1243" t="s">
        <v>670</v>
      </c>
      <c r="C31" s="1244">
        <f>C4-C16</f>
        <v>-25086013407</v>
      </c>
      <c r="D31" s="1245" t="s">
        <v>483</v>
      </c>
      <c r="E31" s="1244">
        <f>E4-E16</f>
        <v>-1646162000</v>
      </c>
      <c r="F31" s="1245" t="s">
        <v>462</v>
      </c>
      <c r="G31" s="1246">
        <f>G4-G16</f>
        <v>-26732175407</v>
      </c>
    </row>
    <row r="32" spans="2:7" x14ac:dyDescent="0.3">
      <c r="G32" s="1247"/>
    </row>
    <row r="33" spans="7:7" x14ac:dyDescent="0.3">
      <c r="G33" s="1247"/>
    </row>
  </sheetData>
  <mergeCells count="3">
    <mergeCell ref="B3:C3"/>
    <mergeCell ref="D3:E3"/>
    <mergeCell ref="F3:G3"/>
  </mergeCells>
  <phoneticPr fontId="53" type="noConversion"/>
  <printOptions horizontalCentered="1"/>
  <pageMargins left="0.27541667222976685" right="0.27541667222976685" top="0.6691666841506958" bottom="0.59041666984558105" header="0.43291667103767395" footer="0.31486111879348755"/>
  <pageSetup paperSize="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FFFFFF"/>
    <pageSetUpPr fitToPage="1"/>
  </sheetPr>
  <dimension ref="B1:I31"/>
  <sheetViews>
    <sheetView view="pageBreakPreview" zoomScaleNormal="100" zoomScaleSheetLayoutView="100" workbookViewId="0">
      <selection activeCell="I17" sqref="I17"/>
    </sheetView>
  </sheetViews>
  <sheetFormatPr defaultColWidth="8.75" defaultRowHeight="16.5" x14ac:dyDescent="0.3"/>
  <cols>
    <col min="1" max="1" width="2.125" style="1248" customWidth="1"/>
    <col min="2" max="7" width="19.625" style="1248" customWidth="1"/>
    <col min="8" max="8" width="8.75" style="1248"/>
    <col min="9" max="9" width="11.75" style="1248" bestFit="1" customWidth="1"/>
    <col min="10" max="16384" width="8.75" style="1248"/>
  </cols>
  <sheetData>
    <row r="1" spans="2:9" x14ac:dyDescent="0.3">
      <c r="B1" s="1227" t="s">
        <v>481</v>
      </c>
      <c r="C1" s="1025"/>
      <c r="D1" s="1025"/>
      <c r="E1" s="1025"/>
      <c r="F1" s="1025"/>
      <c r="G1" s="1025"/>
    </row>
    <row r="2" spans="2:9" x14ac:dyDescent="0.3">
      <c r="B2" s="1025"/>
      <c r="C2" s="1140"/>
      <c r="D2" s="1140"/>
      <c r="E2" s="1140"/>
      <c r="F2" s="1140"/>
      <c r="G2" s="1027" t="s">
        <v>639</v>
      </c>
    </row>
    <row r="3" spans="2:9" ht="15.95" customHeight="1" x14ac:dyDescent="0.3">
      <c r="B3" s="1914" t="s">
        <v>30</v>
      </c>
      <c r="C3" s="1915"/>
      <c r="D3" s="1915"/>
      <c r="E3" s="1915" t="s">
        <v>35</v>
      </c>
      <c r="F3" s="1915"/>
      <c r="G3" s="1930"/>
    </row>
    <row r="4" spans="2:9" ht="15.95" customHeight="1" x14ac:dyDescent="0.3">
      <c r="B4" s="1958" t="s">
        <v>439</v>
      </c>
      <c r="C4" s="1959"/>
      <c r="D4" s="1197" t="s">
        <v>290</v>
      </c>
      <c r="E4" s="1959" t="s">
        <v>439</v>
      </c>
      <c r="F4" s="1959"/>
      <c r="G4" s="1198" t="s">
        <v>290</v>
      </c>
    </row>
    <row r="5" spans="2:9" ht="15.95" customHeight="1" x14ac:dyDescent="0.3">
      <c r="B5" s="1249" t="s">
        <v>340</v>
      </c>
      <c r="C5" s="1201" t="s">
        <v>52</v>
      </c>
      <c r="D5" s="1200">
        <f>SUM(D6:D13)</f>
        <v>1340000000</v>
      </c>
      <c r="E5" s="1250" t="s">
        <v>301</v>
      </c>
      <c r="F5" s="1201" t="s">
        <v>52</v>
      </c>
      <c r="G5" s="1202">
        <f>SUM(G6:G10)</f>
        <v>26426013407</v>
      </c>
    </row>
    <row r="6" spans="2:9" ht="15.95" customHeight="1" x14ac:dyDescent="0.3">
      <c r="B6" s="1251"/>
      <c r="C6" s="1237" t="s">
        <v>244</v>
      </c>
      <c r="D6" s="1207">
        <f>'3-4. 수입예산 성질별 총괄표(완료)'!F9</f>
        <v>940000000</v>
      </c>
      <c r="E6" s="594"/>
      <c r="F6" s="1237" t="s">
        <v>585</v>
      </c>
      <c r="G6" s="1209">
        <f>'3-5.지출예산 성질별총괄표(완료)'!F8+'3-5.지출예산 성질별총괄표(완료)'!F11+'3-5.지출예산 성질별총괄표(완료)'!F26+'3-5.지출예산 성질별총괄표(완료)'!F47</f>
        <v>12421870913</v>
      </c>
      <c r="I6" s="1252"/>
    </row>
    <row r="7" spans="2:9" ht="15.95" customHeight="1" x14ac:dyDescent="0.3">
      <c r="B7" s="1251"/>
      <c r="C7" s="1237" t="s">
        <v>354</v>
      </c>
      <c r="D7" s="1207">
        <f>'3-4. 수입예산 성질별 총괄표(완료)'!F11</f>
        <v>300000000</v>
      </c>
      <c r="E7" s="594"/>
      <c r="F7" s="1237" t="s">
        <v>139</v>
      </c>
      <c r="G7" s="1209">
        <f>I31</f>
        <v>10199180494</v>
      </c>
      <c r="I7" s="1252"/>
    </row>
    <row r="8" spans="2:9" ht="15.95" customHeight="1" x14ac:dyDescent="0.3">
      <c r="B8" s="1251"/>
      <c r="C8" s="1237" t="s">
        <v>145</v>
      </c>
      <c r="D8" s="1207">
        <f>'3-4. 수입예산 성질별 총괄표(완료)'!F14</f>
        <v>0</v>
      </c>
      <c r="E8" s="594"/>
      <c r="F8" s="1237" t="s">
        <v>126</v>
      </c>
      <c r="G8" s="1209">
        <f>'3-5.지출예산 성질별총괄표(완료)'!F40</f>
        <v>1097405000</v>
      </c>
      <c r="I8" s="1252"/>
    </row>
    <row r="9" spans="2:9" ht="15.95" customHeight="1" x14ac:dyDescent="0.3">
      <c r="B9" s="1251"/>
      <c r="C9" s="1237" t="s">
        <v>312</v>
      </c>
      <c r="D9" s="1207">
        <f>'3-4. 수입예산 성질별 총괄표(완료)'!F18</f>
        <v>100000000</v>
      </c>
      <c r="E9" s="594"/>
      <c r="F9" s="1237" t="s">
        <v>68</v>
      </c>
      <c r="G9" s="1209">
        <f>'3-5.지출예산 성질별총괄표(완료)'!F45</f>
        <v>129250000</v>
      </c>
      <c r="I9" s="1252"/>
    </row>
    <row r="10" spans="2:9" ht="15.95" customHeight="1" x14ac:dyDescent="0.3">
      <c r="B10" s="1251"/>
      <c r="C10" s="1237" t="s">
        <v>220</v>
      </c>
      <c r="D10" s="1207">
        <f>'3-4. 수입예산 성질별 총괄표(완료)'!F25</f>
        <v>0</v>
      </c>
      <c r="E10" s="594"/>
      <c r="F10" s="1237" t="s">
        <v>461</v>
      </c>
      <c r="G10" s="1209">
        <f>'3-5.지출예산 성질별총괄표(완료)'!F49+'3-5.지출예산 성질별총괄표(완료)'!F51</f>
        <v>2578307000</v>
      </c>
      <c r="I10" s="1252"/>
    </row>
    <row r="11" spans="2:9" ht="15.95" customHeight="1" x14ac:dyDescent="0.3">
      <c r="B11" s="1251"/>
      <c r="C11" s="1237"/>
      <c r="D11" s="1207"/>
      <c r="E11" s="594"/>
      <c r="F11" s="1237"/>
      <c r="G11" s="1209"/>
    </row>
    <row r="12" spans="2:9" ht="15.95" customHeight="1" x14ac:dyDescent="0.3">
      <c r="B12" s="1251"/>
      <c r="C12" s="1237"/>
      <c r="D12" s="1207"/>
      <c r="E12" s="594"/>
      <c r="F12" s="1253"/>
      <c r="G12" s="1209"/>
    </row>
    <row r="13" spans="2:9" ht="15.95" customHeight="1" x14ac:dyDescent="0.3">
      <c r="B13" s="1254"/>
      <c r="C13" s="1237"/>
      <c r="D13" s="1207"/>
      <c r="E13" s="594"/>
      <c r="F13" s="1253"/>
      <c r="G13" s="1209"/>
    </row>
    <row r="14" spans="2:9" ht="15.95" customHeight="1" x14ac:dyDescent="0.3">
      <c r="B14" s="1249" t="s">
        <v>149</v>
      </c>
      <c r="C14" s="1201" t="s">
        <v>52</v>
      </c>
      <c r="D14" s="1200">
        <f>SUM(D15:D17)</f>
        <v>0</v>
      </c>
      <c r="E14" s="1250" t="s">
        <v>327</v>
      </c>
      <c r="F14" s="1201" t="s">
        <v>52</v>
      </c>
      <c r="G14" s="1202">
        <f>SUM(G15:G17)</f>
        <v>0</v>
      </c>
    </row>
    <row r="15" spans="2:9" ht="15.95" customHeight="1" x14ac:dyDescent="0.3">
      <c r="B15" s="1255"/>
      <c r="C15" s="1233" t="s">
        <v>352</v>
      </c>
      <c r="D15" s="1256">
        <f>'3-4. 수입예산 성질별 총괄표(완료)'!F28</f>
        <v>0</v>
      </c>
      <c r="E15" s="1253"/>
      <c r="F15" s="1257" t="s">
        <v>329</v>
      </c>
      <c r="G15" s="1258">
        <f>'3-5.지출예산 성질별총괄표(완료)'!F52</f>
        <v>0</v>
      </c>
    </row>
    <row r="16" spans="2:9" ht="15.95" customHeight="1" x14ac:dyDescent="0.3">
      <c r="B16" s="1259"/>
      <c r="C16" s="1237" t="s">
        <v>146</v>
      </c>
      <c r="D16" s="1260">
        <f>'3-4. 수입예산 성질별 총괄표(완료)'!F30</f>
        <v>0</v>
      </c>
      <c r="E16" s="1253"/>
      <c r="F16" s="1261"/>
      <c r="G16" s="1262"/>
    </row>
    <row r="17" spans="2:9" ht="15.95" customHeight="1" x14ac:dyDescent="0.3">
      <c r="B17" s="1259"/>
      <c r="C17" s="1237"/>
      <c r="D17" s="1260"/>
      <c r="E17" s="1253"/>
      <c r="F17" s="1261"/>
      <c r="G17" s="1262"/>
    </row>
    <row r="18" spans="2:9" ht="15.95" customHeight="1" x14ac:dyDescent="0.3">
      <c r="B18" s="1259"/>
      <c r="C18" s="1263"/>
      <c r="D18" s="1264"/>
      <c r="E18" s="1265"/>
      <c r="F18" s="1261"/>
      <c r="G18" s="1262"/>
    </row>
    <row r="19" spans="2:9" ht="15.95" customHeight="1" x14ac:dyDescent="0.3">
      <c r="B19" s="1259"/>
      <c r="C19" s="1253"/>
      <c r="D19" s="1260"/>
      <c r="E19" s="1265"/>
      <c r="F19" s="1266"/>
      <c r="G19" s="1258"/>
    </row>
    <row r="20" spans="2:9" ht="15.95" customHeight="1" x14ac:dyDescent="0.3">
      <c r="B20" s="1259"/>
      <c r="C20" s="1267"/>
      <c r="D20" s="1260"/>
      <c r="E20" s="1253"/>
      <c r="F20" s="1268"/>
      <c r="G20" s="1269"/>
    </row>
    <row r="21" spans="2:9" ht="15.95" customHeight="1" x14ac:dyDescent="0.3">
      <c r="B21" s="1249" t="s">
        <v>365</v>
      </c>
      <c r="C21" s="1201" t="s">
        <v>52</v>
      </c>
      <c r="D21" s="1200">
        <f>SUM(D22:D23)</f>
        <v>0</v>
      </c>
      <c r="E21" s="1250" t="s">
        <v>326</v>
      </c>
      <c r="F21" s="1201" t="s">
        <v>52</v>
      </c>
      <c r="G21" s="1202">
        <f>G22</f>
        <v>0</v>
      </c>
    </row>
    <row r="22" spans="2:9" ht="15.95" customHeight="1" x14ac:dyDescent="0.3">
      <c r="B22" s="1255"/>
      <c r="C22" s="1237" t="s">
        <v>591</v>
      </c>
      <c r="D22" s="1207">
        <v>0</v>
      </c>
      <c r="E22" s="594"/>
      <c r="F22" s="1237" t="s">
        <v>349</v>
      </c>
      <c r="G22" s="1209">
        <v>0</v>
      </c>
    </row>
    <row r="23" spans="2:9" ht="15.95" customHeight="1" x14ac:dyDescent="0.3">
      <c r="B23" s="1259"/>
      <c r="C23" s="1237" t="s">
        <v>311</v>
      </c>
      <c r="D23" s="1207">
        <v>0</v>
      </c>
      <c r="E23" s="594"/>
      <c r="F23" s="1253"/>
      <c r="G23" s="1209"/>
    </row>
    <row r="24" spans="2:9" ht="15.95" customHeight="1" x14ac:dyDescent="0.3">
      <c r="B24" s="1259"/>
      <c r="C24" s="1253"/>
      <c r="D24" s="1207"/>
      <c r="E24" s="594"/>
      <c r="F24" s="1253"/>
      <c r="G24" s="1270"/>
    </row>
    <row r="25" spans="2:9" ht="15.95" customHeight="1" x14ac:dyDescent="0.3">
      <c r="B25" s="1271"/>
      <c r="C25" s="1265"/>
      <c r="D25" s="1272"/>
      <c r="E25" s="1250" t="s">
        <v>102</v>
      </c>
      <c r="F25" s="1201" t="s">
        <v>52</v>
      </c>
      <c r="G25" s="1202">
        <f>G26</f>
        <v>0</v>
      </c>
    </row>
    <row r="26" spans="2:9" ht="15.95" customHeight="1" x14ac:dyDescent="0.3">
      <c r="B26" s="1259"/>
      <c r="C26" s="1237"/>
      <c r="D26" s="1207"/>
      <c r="E26" s="1273"/>
      <c r="F26" s="1274" t="s">
        <v>317</v>
      </c>
      <c r="G26" s="1270">
        <v>0</v>
      </c>
    </row>
    <row r="27" spans="2:9" ht="15.95" customHeight="1" x14ac:dyDescent="0.3">
      <c r="B27" s="1275"/>
      <c r="C27" s="1276"/>
      <c r="D27" s="1277"/>
      <c r="E27" s="1278" t="s">
        <v>589</v>
      </c>
      <c r="F27" s="1278" t="s">
        <v>52</v>
      </c>
      <c r="G27" s="1279">
        <f>G28</f>
        <v>0</v>
      </c>
    </row>
    <row r="28" spans="2:9" ht="15.95" customHeight="1" x14ac:dyDescent="0.3">
      <c r="B28" s="1275"/>
      <c r="C28" s="1267"/>
      <c r="D28" s="1280"/>
      <c r="E28" s="1278"/>
      <c r="F28" s="1233" t="s">
        <v>93</v>
      </c>
      <c r="G28" s="1281">
        <f>'3-5.지출예산 성질별총괄표(완료)'!F77</f>
        <v>0</v>
      </c>
      <c r="I28" s="1226">
        <f>'3-5.지출예산 성질별총괄표(완료)'!F5</f>
        <v>32072175407</v>
      </c>
    </row>
    <row r="29" spans="2:9" ht="15.95" customHeight="1" x14ac:dyDescent="0.3">
      <c r="B29" s="1960" t="s">
        <v>418</v>
      </c>
      <c r="C29" s="1961"/>
      <c r="D29" s="1282">
        <f>D5+D14+D21+D25</f>
        <v>1340000000</v>
      </c>
      <c r="E29" s="1961" t="s">
        <v>464</v>
      </c>
      <c r="F29" s="1961"/>
      <c r="G29" s="1202">
        <f>G5+G14+G21+G25+G27</f>
        <v>26426013407</v>
      </c>
      <c r="I29" s="1226">
        <f>'3-3.자본예산총괄표(완료)'!G30</f>
        <v>5646162000</v>
      </c>
    </row>
    <row r="30" spans="2:9" ht="15.95" customHeight="1" x14ac:dyDescent="0.3">
      <c r="B30" s="1955" t="s">
        <v>590</v>
      </c>
      <c r="C30" s="1956"/>
      <c r="D30" s="1956"/>
      <c r="E30" s="1956"/>
      <c r="F30" s="1957"/>
      <c r="G30" s="1283">
        <f>D29-G29</f>
        <v>-25086013407</v>
      </c>
      <c r="I30" s="1226">
        <f>G6+G8+G9+G10</f>
        <v>16226832913</v>
      </c>
    </row>
    <row r="31" spans="2:9" x14ac:dyDescent="0.3">
      <c r="I31" s="1226">
        <f>I28-SUM(I29:I30)</f>
        <v>10199180494</v>
      </c>
    </row>
  </sheetData>
  <mergeCells count="7">
    <mergeCell ref="B30:F30"/>
    <mergeCell ref="B3:D3"/>
    <mergeCell ref="E3:G3"/>
    <mergeCell ref="B4:C4"/>
    <mergeCell ref="E4:F4"/>
    <mergeCell ref="B29:C29"/>
    <mergeCell ref="E29:F29"/>
  </mergeCells>
  <phoneticPr fontId="53" type="noConversion"/>
  <printOptions horizontalCentered="1"/>
  <pageMargins left="0.27541667222976685" right="0.27541667222976685" top="0.74750000238418579" bottom="0.59041666984558105" header="0.43291667103767395" footer="0.31486111879348755"/>
  <pageSetup paperSize="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FFFFFF"/>
    <pageSetUpPr fitToPage="1"/>
  </sheetPr>
  <dimension ref="B1:I31"/>
  <sheetViews>
    <sheetView view="pageBreakPreview" zoomScale="115" zoomScaleNormal="100" zoomScaleSheetLayoutView="115" workbookViewId="0">
      <selection activeCell="C33" sqref="C33"/>
    </sheetView>
  </sheetViews>
  <sheetFormatPr defaultColWidth="9" defaultRowHeight="13.5" x14ac:dyDescent="0.3"/>
  <cols>
    <col min="1" max="1" width="1.25" style="1025" customWidth="1"/>
    <col min="2" max="2" width="18.625" style="1025" customWidth="1"/>
    <col min="3" max="3" width="22.625" style="1025" customWidth="1"/>
    <col min="4" max="4" width="18.25" style="1025" customWidth="1"/>
    <col min="5" max="5" width="14.625" style="1025" customWidth="1"/>
    <col min="6" max="6" width="21.125" style="1025" customWidth="1"/>
    <col min="7" max="7" width="20.25" style="1025" customWidth="1"/>
    <col min="8" max="8" width="4.25" style="1025" customWidth="1"/>
    <col min="9" max="16384" width="9" style="1025"/>
  </cols>
  <sheetData>
    <row r="1" spans="2:9" x14ac:dyDescent="0.3">
      <c r="B1" s="1284" t="s">
        <v>453</v>
      </c>
      <c r="C1" s="1284"/>
      <c r="D1" s="1284"/>
      <c r="E1" s="1284"/>
      <c r="F1" s="1284"/>
      <c r="G1" s="1284"/>
      <c r="H1" s="1284"/>
      <c r="I1" s="1284"/>
    </row>
    <row r="2" spans="2:9" ht="17.25" customHeight="1" x14ac:dyDescent="0.3">
      <c r="C2" s="1140"/>
      <c r="D2" s="1140"/>
      <c r="E2" s="1140"/>
      <c r="F2" s="1140"/>
      <c r="G2" s="1027" t="s">
        <v>639</v>
      </c>
      <c r="H2" s="1027"/>
    </row>
    <row r="3" spans="2:9" ht="15.6" customHeight="1" x14ac:dyDescent="0.3">
      <c r="B3" s="1914" t="s">
        <v>769</v>
      </c>
      <c r="C3" s="1915"/>
      <c r="D3" s="1915"/>
      <c r="E3" s="1915" t="s">
        <v>766</v>
      </c>
      <c r="F3" s="1915"/>
      <c r="G3" s="1930"/>
      <c r="H3" s="1285"/>
    </row>
    <row r="4" spans="2:9" ht="15.6" customHeight="1" x14ac:dyDescent="0.3">
      <c r="B4" s="1958" t="s">
        <v>472</v>
      </c>
      <c r="C4" s="1959"/>
      <c r="D4" s="1169" t="s">
        <v>290</v>
      </c>
      <c r="E4" s="1959" t="s">
        <v>472</v>
      </c>
      <c r="F4" s="1959"/>
      <c r="G4" s="1170" t="s">
        <v>310</v>
      </c>
      <c r="H4" s="1285"/>
    </row>
    <row r="5" spans="2:9" ht="15.6" customHeight="1" x14ac:dyDescent="0.3">
      <c r="B5" s="1286" t="s">
        <v>176</v>
      </c>
      <c r="C5" s="1287" t="s">
        <v>52</v>
      </c>
      <c r="D5" s="1288">
        <f>SUM(D6:D6)</f>
        <v>0</v>
      </c>
      <c r="E5" s="1289" t="s">
        <v>131</v>
      </c>
      <c r="F5" s="1287" t="s">
        <v>52</v>
      </c>
      <c r="G5" s="1290">
        <f>SUM(G6:G6)</f>
        <v>0</v>
      </c>
      <c r="H5" s="1291"/>
    </row>
    <row r="6" spans="2:9" ht="15.6" customHeight="1" x14ac:dyDescent="0.3">
      <c r="B6" s="1292"/>
      <c r="C6" s="1293"/>
      <c r="D6" s="1294"/>
      <c r="E6" s="1295"/>
      <c r="F6" s="1293"/>
      <c r="G6" s="1296"/>
      <c r="H6" s="1297"/>
    </row>
    <row r="7" spans="2:9" ht="15.6" customHeight="1" x14ac:dyDescent="0.3">
      <c r="B7" s="1298" t="s">
        <v>659</v>
      </c>
      <c r="C7" s="1176" t="s">
        <v>52</v>
      </c>
      <c r="D7" s="1299">
        <f>SUM(D8:D13)</f>
        <v>0</v>
      </c>
      <c r="E7" s="1300" t="s">
        <v>322</v>
      </c>
      <c r="F7" s="1176" t="s">
        <v>52</v>
      </c>
      <c r="G7" s="1301">
        <f>SUM(G8:G13)</f>
        <v>5488662000</v>
      </c>
      <c r="H7" s="1302"/>
    </row>
    <row r="8" spans="2:9" ht="15.6" customHeight="1" x14ac:dyDescent="0.3">
      <c r="B8" s="1303"/>
      <c r="C8" s="1304"/>
      <c r="D8" s="1294"/>
      <c r="E8" s="1295"/>
      <c r="F8" s="1295" t="s">
        <v>82</v>
      </c>
      <c r="G8" s="1305">
        <v>0</v>
      </c>
      <c r="H8" s="1306"/>
    </row>
    <row r="9" spans="2:9" ht="15.6" customHeight="1" x14ac:dyDescent="0.3">
      <c r="B9" s="1307"/>
      <c r="C9" s="1308"/>
      <c r="D9" s="1309"/>
      <c r="E9" s="1310"/>
      <c r="F9" s="1310" t="s">
        <v>75</v>
      </c>
      <c r="G9" s="1311">
        <f>'3-5.지출예산 성질별총괄표(완료)'!F62</f>
        <v>3129212000</v>
      </c>
      <c r="H9" s="1306"/>
    </row>
    <row r="10" spans="2:9" ht="15.6" customHeight="1" x14ac:dyDescent="0.3">
      <c r="B10" s="1307"/>
      <c r="C10" s="1308"/>
      <c r="D10" s="1309"/>
      <c r="E10" s="1310"/>
      <c r="F10" s="1310" t="s">
        <v>120</v>
      </c>
      <c r="G10" s="1311">
        <v>0</v>
      </c>
      <c r="H10" s="1306"/>
    </row>
    <row r="11" spans="2:9" ht="15.6" customHeight="1" x14ac:dyDescent="0.3">
      <c r="B11" s="1307"/>
      <c r="C11" s="1308"/>
      <c r="D11" s="1309"/>
      <c r="E11" s="1310"/>
      <c r="F11" s="1310" t="s">
        <v>195</v>
      </c>
      <c r="G11" s="1311">
        <v>2150450000</v>
      </c>
      <c r="H11" s="1306"/>
    </row>
    <row r="12" spans="2:9" ht="15.6" customHeight="1" x14ac:dyDescent="0.3">
      <c r="B12" s="1307"/>
      <c r="C12" s="1308"/>
      <c r="D12" s="1309"/>
      <c r="E12" s="1310"/>
      <c r="F12" s="1310" t="s">
        <v>211</v>
      </c>
      <c r="G12" s="1311">
        <v>50000000</v>
      </c>
      <c r="H12" s="1306"/>
    </row>
    <row r="13" spans="2:9" ht="15.6" customHeight="1" x14ac:dyDescent="0.3">
      <c r="B13" s="1312"/>
      <c r="C13" s="1313"/>
      <c r="D13" s="1314"/>
      <c r="E13" s="1315"/>
      <c r="F13" s="1315" t="s">
        <v>187</v>
      </c>
      <c r="G13" s="1316">
        <v>159000000</v>
      </c>
      <c r="H13" s="1306"/>
    </row>
    <row r="14" spans="2:9" ht="15.6" customHeight="1" x14ac:dyDescent="0.3">
      <c r="B14" s="1298" t="s">
        <v>151</v>
      </c>
      <c r="C14" s="1176" t="s">
        <v>52</v>
      </c>
      <c r="D14" s="1299">
        <f>SUM(D15:D15)</f>
        <v>0</v>
      </c>
      <c r="E14" s="1300" t="s">
        <v>320</v>
      </c>
      <c r="F14" s="1176" t="s">
        <v>52</v>
      </c>
      <c r="G14" s="1301">
        <f>SUM(G15:G16)</f>
        <v>155500000</v>
      </c>
      <c r="H14" s="1302"/>
    </row>
    <row r="15" spans="2:9" ht="15.6" customHeight="1" x14ac:dyDescent="0.3">
      <c r="B15" s="1292"/>
      <c r="C15" s="1293"/>
      <c r="D15" s="1294"/>
      <c r="E15" s="1295"/>
      <c r="F15" s="1295" t="s">
        <v>347</v>
      </c>
      <c r="G15" s="1305">
        <f>'3-5.지출예산 성질별총괄표(완료)'!F70</f>
        <v>95500000</v>
      </c>
      <c r="H15" s="1306"/>
    </row>
    <row r="16" spans="2:9" ht="15.6" customHeight="1" x14ac:dyDescent="0.3">
      <c r="B16" s="1312"/>
      <c r="C16" s="1313"/>
      <c r="D16" s="1314"/>
      <c r="E16" s="1315"/>
      <c r="F16" s="1315" t="s">
        <v>580</v>
      </c>
      <c r="G16" s="1316">
        <f>'3-5.지출예산 성질별총괄표(완료)'!F72</f>
        <v>60000000</v>
      </c>
      <c r="H16" s="1306"/>
    </row>
    <row r="17" spans="2:8" ht="15.6" customHeight="1" x14ac:dyDescent="0.3">
      <c r="B17" s="1298" t="s">
        <v>313</v>
      </c>
      <c r="C17" s="1176" t="s">
        <v>52</v>
      </c>
      <c r="D17" s="1299">
        <f>SUM(D18:D20)</f>
        <v>4000000000</v>
      </c>
      <c r="E17" s="1300" t="s">
        <v>362</v>
      </c>
      <c r="F17" s="1176" t="s">
        <v>52</v>
      </c>
      <c r="G17" s="1301">
        <v>0</v>
      </c>
      <c r="H17" s="1302"/>
    </row>
    <row r="18" spans="2:8" ht="15.6" customHeight="1" x14ac:dyDescent="0.3">
      <c r="B18" s="1292"/>
      <c r="C18" s="1310" t="s">
        <v>316</v>
      </c>
      <c r="D18" s="1294">
        <v>0</v>
      </c>
      <c r="E18" s="1310"/>
      <c r="F18" s="1308"/>
      <c r="G18" s="1311"/>
      <c r="H18" s="1306"/>
    </row>
    <row r="19" spans="2:8" ht="15.6" customHeight="1" x14ac:dyDescent="0.3">
      <c r="B19" s="1307"/>
      <c r="C19" s="1310" t="s">
        <v>345</v>
      </c>
      <c r="D19" s="1309">
        <f>'3-4. 수입예산 성질별 총괄표(완료)'!F47</f>
        <v>0</v>
      </c>
      <c r="E19" s="1310"/>
      <c r="F19" s="1308"/>
      <c r="G19" s="1311"/>
      <c r="H19" s="1306"/>
    </row>
    <row r="20" spans="2:8" ht="15.6" customHeight="1" x14ac:dyDescent="0.3">
      <c r="B20" s="1307"/>
      <c r="C20" s="1310" t="s">
        <v>641</v>
      </c>
      <c r="D20" s="1309">
        <f>'3-4. 수입예산 성질별 총괄표(완료)'!F49</f>
        <v>4000000000</v>
      </c>
      <c r="E20" s="1310"/>
      <c r="F20" s="1308"/>
      <c r="G20" s="1311"/>
      <c r="H20" s="1306"/>
    </row>
    <row r="21" spans="2:8" ht="15.6" customHeight="1" x14ac:dyDescent="0.3">
      <c r="B21" s="1312"/>
      <c r="C21" s="1310"/>
      <c r="D21" s="1314"/>
      <c r="E21" s="1315"/>
      <c r="F21" s="1313"/>
      <c r="G21" s="1316"/>
      <c r="H21" s="1306"/>
    </row>
    <row r="22" spans="2:8" ht="15.6" customHeight="1" x14ac:dyDescent="0.3">
      <c r="B22" s="1298" t="s">
        <v>87</v>
      </c>
      <c r="C22" s="1176" t="s">
        <v>52</v>
      </c>
      <c r="D22" s="1299">
        <f>SUM(D23:D23)</f>
        <v>0</v>
      </c>
      <c r="E22" s="1300" t="s">
        <v>359</v>
      </c>
      <c r="F22" s="1176" t="s">
        <v>52</v>
      </c>
      <c r="G22" s="1301">
        <f>SUM(G23:G23)</f>
        <v>0</v>
      </c>
      <c r="H22" s="1302"/>
    </row>
    <row r="23" spans="2:8" ht="15.6" customHeight="1" x14ac:dyDescent="0.3">
      <c r="B23" s="1292"/>
      <c r="C23" s="1310"/>
      <c r="D23" s="1294"/>
      <c r="E23" s="1295"/>
      <c r="F23" s="1293"/>
      <c r="G23" s="1305"/>
      <c r="H23" s="1306"/>
    </row>
    <row r="24" spans="2:8" ht="15.6" customHeight="1" x14ac:dyDescent="0.3">
      <c r="B24" s="1298" t="s">
        <v>334</v>
      </c>
      <c r="C24" s="1176" t="s">
        <v>52</v>
      </c>
      <c r="D24" s="1299">
        <f>D25</f>
        <v>0</v>
      </c>
      <c r="E24" s="1300" t="s">
        <v>289</v>
      </c>
      <c r="F24" s="1176" t="s">
        <v>52</v>
      </c>
      <c r="G24" s="1301">
        <f>SUM(G25:G26)</f>
        <v>2000000</v>
      </c>
      <c r="H24" s="1302"/>
    </row>
    <row r="25" spans="2:8" ht="15.6" customHeight="1" x14ac:dyDescent="0.3">
      <c r="B25" s="1317"/>
      <c r="C25" s="1318"/>
      <c r="D25" s="1319"/>
      <c r="E25" s="1300"/>
      <c r="F25" s="1295" t="s">
        <v>358</v>
      </c>
      <c r="G25" s="1322">
        <f>'3-5.지출예산 성질별총괄표(완료)'!F74</f>
        <v>2000000</v>
      </c>
      <c r="H25" s="1302"/>
    </row>
    <row r="26" spans="2:8" ht="15.6" customHeight="1" x14ac:dyDescent="0.3">
      <c r="B26" s="1317" t="s">
        <v>64</v>
      </c>
      <c r="C26" s="1320" t="s">
        <v>52</v>
      </c>
      <c r="D26" s="1319">
        <f>SUM(D27:D28)</f>
        <v>0</v>
      </c>
      <c r="E26" s="1300"/>
      <c r="F26" s="1176"/>
      <c r="G26" s="1301"/>
      <c r="H26" s="1302"/>
    </row>
    <row r="27" spans="2:8" ht="15.6" customHeight="1" x14ac:dyDescent="0.3">
      <c r="B27" s="1292"/>
      <c r="C27" s="1310" t="s">
        <v>747</v>
      </c>
      <c r="D27" s="1294">
        <f>'3-4. 수입예산 성질별 총괄표(완료)'!F52</f>
        <v>0</v>
      </c>
      <c r="E27" s="1300" t="s">
        <v>281</v>
      </c>
      <c r="F27" s="1176" t="s">
        <v>52</v>
      </c>
      <c r="G27" s="1301">
        <f>SUM(G28)</f>
        <v>0</v>
      </c>
      <c r="H27" s="1302"/>
    </row>
    <row r="28" spans="2:8" ht="15.6" customHeight="1" x14ac:dyDescent="0.3">
      <c r="B28" s="1307"/>
      <c r="C28" s="1310"/>
      <c r="D28" s="1309"/>
      <c r="E28" s="1321"/>
      <c r="F28" s="1321" t="s">
        <v>281</v>
      </c>
      <c r="G28" s="1322">
        <f>'[1]3-5.지출예산 성질별총괄표'!F88</f>
        <v>0</v>
      </c>
      <c r="H28" s="1306"/>
    </row>
    <row r="29" spans="2:8" ht="15.6" customHeight="1" x14ac:dyDescent="0.3">
      <c r="B29" s="1323"/>
      <c r="C29" s="1324"/>
      <c r="D29" s="1314"/>
      <c r="E29" s="1962" t="s">
        <v>493</v>
      </c>
      <c r="F29" s="1963"/>
      <c r="G29" s="1301">
        <v>0</v>
      </c>
      <c r="H29" s="1302"/>
    </row>
    <row r="30" spans="2:8" ht="15.6" customHeight="1" x14ac:dyDescent="0.3">
      <c r="B30" s="1960" t="s">
        <v>428</v>
      </c>
      <c r="C30" s="1961"/>
      <c r="D30" s="1299">
        <f>D5+D7+D14+D17+D22+D24+D26</f>
        <v>4000000000</v>
      </c>
      <c r="E30" s="1961" t="s">
        <v>428</v>
      </c>
      <c r="F30" s="1961"/>
      <c r="G30" s="1301">
        <f>G5+G7+G14+G17+G22+G24+G27+G29</f>
        <v>5646162000</v>
      </c>
      <c r="H30" s="1302"/>
    </row>
    <row r="31" spans="2:8" ht="15.6" customHeight="1" x14ac:dyDescent="0.3">
      <c r="B31" s="1955" t="s">
        <v>4</v>
      </c>
      <c r="C31" s="1956"/>
      <c r="D31" s="1956"/>
      <c r="E31" s="1956"/>
      <c r="F31" s="1957"/>
      <c r="G31" s="1325">
        <f>D30-G30</f>
        <v>-1646162000</v>
      </c>
      <c r="H31" s="1302"/>
    </row>
  </sheetData>
  <mergeCells count="8">
    <mergeCell ref="B31:F31"/>
    <mergeCell ref="B3:D3"/>
    <mergeCell ref="E3:G3"/>
    <mergeCell ref="B4:C4"/>
    <mergeCell ref="E4:F4"/>
    <mergeCell ref="E29:F29"/>
    <mergeCell ref="B30:C30"/>
    <mergeCell ref="E30:F30"/>
  </mergeCells>
  <phoneticPr fontId="53" type="noConversion"/>
  <printOptions horizontalCentered="1"/>
  <pageMargins left="0.27541667222976685" right="0.27541667222976685" top="0.74750000238418579" bottom="0.59041666984558105" header="0.43291667103767395" footer="0.31486111879348755"/>
  <pageSetup paperSize="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rgb="FFFFFFFF"/>
    <pageSetUpPr fitToPage="1"/>
  </sheetPr>
  <dimension ref="A1:K55"/>
  <sheetViews>
    <sheetView view="pageBreakPreview" topLeftCell="A2" zoomScale="120" zoomScaleNormal="85" zoomScaleSheetLayoutView="120" workbookViewId="0">
      <pane xSplit="11" ySplit="3" topLeftCell="L5" activePane="bottomRight" state="frozen"/>
      <selection pane="topRight" activeCell="A2" sqref="A2"/>
      <selection pane="bottomLeft" activeCell="A2" sqref="A2"/>
      <selection pane="bottomRight" activeCell="M31" sqref="M31"/>
    </sheetView>
  </sheetViews>
  <sheetFormatPr defaultColWidth="9" defaultRowHeight="13.5" x14ac:dyDescent="0.3"/>
  <cols>
    <col min="1" max="1" width="3" style="1025" customWidth="1"/>
    <col min="2" max="2" width="1.625" style="1025" customWidth="1"/>
    <col min="3" max="3" width="1.875" style="1025" customWidth="1"/>
    <col min="4" max="4" width="1.75" style="1025" customWidth="1"/>
    <col min="5" max="5" width="25.25" style="1025" customWidth="1"/>
    <col min="6" max="6" width="17.625" style="1025" customWidth="1"/>
    <col min="7" max="7" width="12.625" style="1025" customWidth="1"/>
    <col min="8" max="8" width="17.625" style="1025" customWidth="1"/>
    <col min="9" max="9" width="12.625" style="1025" customWidth="1"/>
    <col min="10" max="10" width="17.625" style="1025" customWidth="1"/>
    <col min="11" max="11" width="12.625" style="1025" customWidth="1"/>
    <col min="12" max="16384" width="9" style="1025"/>
  </cols>
  <sheetData>
    <row r="1" spans="1:11" ht="22.5" hidden="1" customHeight="1" x14ac:dyDescent="0.3">
      <c r="B1" s="1326" t="s">
        <v>726</v>
      </c>
      <c r="C1" s="1326"/>
      <c r="D1" s="225"/>
      <c r="E1" s="225"/>
      <c r="F1" s="225"/>
      <c r="G1" s="225"/>
      <c r="H1" s="225"/>
      <c r="I1" s="225"/>
      <c r="J1" s="225"/>
      <c r="K1" s="225"/>
    </row>
    <row r="2" spans="1:11" ht="33.950000000000003" customHeight="1" x14ac:dyDescent="0.3">
      <c r="B2" s="1326" t="s">
        <v>425</v>
      </c>
      <c r="C2" s="1327"/>
      <c r="D2" s="225"/>
      <c r="E2" s="225"/>
      <c r="F2" s="225"/>
      <c r="G2" s="1328"/>
      <c r="H2" s="1328"/>
      <c r="I2" s="225"/>
      <c r="J2" s="225"/>
      <c r="K2" s="1329" t="s">
        <v>583</v>
      </c>
    </row>
    <row r="3" spans="1:11" ht="16.5" customHeight="1" x14ac:dyDescent="0.3">
      <c r="B3" s="1897" t="s">
        <v>584</v>
      </c>
      <c r="C3" s="1898"/>
      <c r="D3" s="1898"/>
      <c r="E3" s="1979"/>
      <c r="F3" s="1974" t="s">
        <v>315</v>
      </c>
      <c r="G3" s="1972" t="s">
        <v>485</v>
      </c>
      <c r="H3" s="1974" t="s">
        <v>618</v>
      </c>
      <c r="I3" s="1972" t="s">
        <v>485</v>
      </c>
      <c r="J3" s="1974" t="s">
        <v>88</v>
      </c>
      <c r="K3" s="1976" t="s">
        <v>471</v>
      </c>
    </row>
    <row r="4" spans="1:11" ht="16.5" customHeight="1" x14ac:dyDescent="0.3">
      <c r="B4" s="1980"/>
      <c r="C4" s="1981"/>
      <c r="D4" s="1981"/>
      <c r="E4" s="1982"/>
      <c r="F4" s="1975"/>
      <c r="G4" s="1973"/>
      <c r="H4" s="1975"/>
      <c r="I4" s="1973"/>
      <c r="J4" s="1975"/>
      <c r="K4" s="1977"/>
    </row>
    <row r="5" spans="1:11" ht="18.75" customHeight="1" x14ac:dyDescent="0.3">
      <c r="B5" s="1876" t="s">
        <v>130</v>
      </c>
      <c r="C5" s="1978"/>
      <c r="D5" s="1978"/>
      <c r="E5" s="1978"/>
      <c r="F5" s="1330">
        <f>SUM(F6,F32)</f>
        <v>5340000000</v>
      </c>
      <c r="G5" s="1331">
        <f>F5/$F$5*100</f>
        <v>100</v>
      </c>
      <c r="H5" s="1330">
        <f>SUM(H6,H32)</f>
        <v>5295574000</v>
      </c>
      <c r="I5" s="1331">
        <f>H5/$H$5*100</f>
        <v>100</v>
      </c>
      <c r="J5" s="1330">
        <f>F5-H5</f>
        <v>44426000</v>
      </c>
      <c r="K5" s="1332">
        <f>J5/H5*100</f>
        <v>0.83892699828196149</v>
      </c>
    </row>
    <row r="6" spans="1:11" s="1284" customFormat="1" ht="18.75" customHeight="1" x14ac:dyDescent="0.3">
      <c r="B6" s="1969" t="s">
        <v>642</v>
      </c>
      <c r="C6" s="1970"/>
      <c r="D6" s="1970"/>
      <c r="E6" s="1970"/>
      <c r="F6" s="1333">
        <f>SUM(F7,F27)</f>
        <v>1340000000</v>
      </c>
      <c r="G6" s="1334">
        <f t="shared" ref="G6:G52" si="0">F6/$F$5*100</f>
        <v>25.0936329588015</v>
      </c>
      <c r="H6" s="1333">
        <f>SUM(H7,H27)</f>
        <v>1885574000</v>
      </c>
      <c r="I6" s="1334">
        <f t="shared" ref="I6:I51" si="1">H6/$H$5*100</f>
        <v>35.606602796977249</v>
      </c>
      <c r="J6" s="1335">
        <f t="shared" ref="J6:J52" si="2">F6-H6</f>
        <v>-545574000</v>
      </c>
      <c r="K6" s="1336">
        <f t="shared" ref="K6:K52" si="3">J6/H6*100</f>
        <v>-28.934107067662158</v>
      </c>
    </row>
    <row r="7" spans="1:11" ht="15.95" customHeight="1" x14ac:dyDescent="0.3">
      <c r="A7" s="1337"/>
      <c r="B7" s="1338"/>
      <c r="C7" s="1964" t="s">
        <v>539</v>
      </c>
      <c r="D7" s="1964"/>
      <c r="E7" s="1964"/>
      <c r="F7" s="1339">
        <f>SUM(F8,F11,F14,F23,F25,F18)</f>
        <v>1340000000</v>
      </c>
      <c r="G7" s="1340">
        <f t="shared" si="0"/>
        <v>25.0936329588015</v>
      </c>
      <c r="H7" s="1339">
        <f>SUM(H8,H11,H14,H18,H25)</f>
        <v>1885574000</v>
      </c>
      <c r="I7" s="1340">
        <f t="shared" si="1"/>
        <v>35.606602796977249</v>
      </c>
      <c r="J7" s="1341">
        <f t="shared" si="2"/>
        <v>-545574000</v>
      </c>
      <c r="K7" s="1342">
        <f t="shared" si="3"/>
        <v>-28.934107067662158</v>
      </c>
    </row>
    <row r="8" spans="1:11" s="1345" customFormat="1" ht="15.95" customHeight="1" x14ac:dyDescent="0.3">
      <c r="A8" s="1343"/>
      <c r="B8" s="1344"/>
      <c r="C8" s="1348"/>
      <c r="D8" s="1964" t="s">
        <v>640</v>
      </c>
      <c r="E8" s="1964"/>
      <c r="F8" s="1339">
        <f>SUM(F9:F10)</f>
        <v>940000000</v>
      </c>
      <c r="G8" s="1340">
        <f t="shared" si="0"/>
        <v>17.602996254681649</v>
      </c>
      <c r="H8" s="1339">
        <f>SUM(H9:H10)</f>
        <v>1050000000</v>
      </c>
      <c r="I8" s="1340">
        <f t="shared" si="1"/>
        <v>19.827878904156567</v>
      </c>
      <c r="J8" s="1576">
        <f t="shared" si="2"/>
        <v>-110000000</v>
      </c>
      <c r="K8" s="1342">
        <f t="shared" si="3"/>
        <v>-10.476190476190476</v>
      </c>
    </row>
    <row r="9" spans="1:11" ht="15.95" customHeight="1" x14ac:dyDescent="0.3">
      <c r="A9" s="1337"/>
      <c r="B9" s="1344"/>
      <c r="C9" s="1349"/>
      <c r="D9" s="1350"/>
      <c r="E9" s="1347" t="s">
        <v>480</v>
      </c>
      <c r="F9" s="1339">
        <f>수입예산!G10</f>
        <v>940000000</v>
      </c>
      <c r="G9" s="1340">
        <f t="shared" si="0"/>
        <v>17.602996254681649</v>
      </c>
      <c r="H9" s="1339">
        <f>수입예산!H10</f>
        <v>1050000000</v>
      </c>
      <c r="I9" s="1340">
        <f t="shared" si="1"/>
        <v>19.827878904156567</v>
      </c>
      <c r="J9" s="1576">
        <f t="shared" si="2"/>
        <v>-110000000</v>
      </c>
      <c r="K9" s="1342">
        <f t="shared" si="3"/>
        <v>-10.476190476190476</v>
      </c>
    </row>
    <row r="10" spans="1:11" ht="12" hidden="1" customHeight="1" x14ac:dyDescent="0.3">
      <c r="A10" s="1337"/>
      <c r="B10" s="1344"/>
      <c r="C10" s="1349"/>
      <c r="D10" s="1351"/>
      <c r="E10" s="1347" t="s">
        <v>445</v>
      </c>
      <c r="F10" s="1339">
        <v>0</v>
      </c>
      <c r="G10" s="1340">
        <f t="shared" si="0"/>
        <v>0</v>
      </c>
      <c r="H10" s="1339">
        <v>0</v>
      </c>
      <c r="I10" s="1340">
        <f t="shared" si="1"/>
        <v>0</v>
      </c>
      <c r="J10" s="1576">
        <f t="shared" si="2"/>
        <v>0</v>
      </c>
      <c r="K10" s="1342" t="e">
        <f t="shared" si="3"/>
        <v>#DIV/0!</v>
      </c>
    </row>
    <row r="11" spans="1:11" s="1345" customFormat="1" ht="15.95" customHeight="1" x14ac:dyDescent="0.3">
      <c r="A11" s="1343"/>
      <c r="B11" s="1344"/>
      <c r="C11" s="1349"/>
      <c r="D11" s="1964" t="s">
        <v>537</v>
      </c>
      <c r="E11" s="1964"/>
      <c r="F11" s="1339">
        <f>SUM(F12:F13)</f>
        <v>300000000</v>
      </c>
      <c r="G11" s="1340">
        <f t="shared" si="0"/>
        <v>5.6179775280898872</v>
      </c>
      <c r="H11" s="1339">
        <f>SUM(H12:H13)</f>
        <v>735574000</v>
      </c>
      <c r="I11" s="1340">
        <f t="shared" si="1"/>
        <v>13.890354473377201</v>
      </c>
      <c r="J11" s="1576">
        <f t="shared" si="2"/>
        <v>-435574000</v>
      </c>
      <c r="K11" s="1342">
        <f t="shared" si="3"/>
        <v>-59.215524202867421</v>
      </c>
    </row>
    <row r="12" spans="1:11" ht="15.95" customHeight="1" x14ac:dyDescent="0.3">
      <c r="A12" s="1337"/>
      <c r="B12" s="1344"/>
      <c r="C12" s="1349"/>
      <c r="D12" s="1350"/>
      <c r="E12" s="1347" t="s">
        <v>465</v>
      </c>
      <c r="F12" s="1339">
        <f>수입예산!G22</f>
        <v>265000000</v>
      </c>
      <c r="G12" s="1340">
        <f t="shared" si="0"/>
        <v>4.9625468164794011</v>
      </c>
      <c r="H12" s="1339">
        <f>수입예산!H22</f>
        <v>569938000</v>
      </c>
      <c r="I12" s="1340">
        <f t="shared" si="1"/>
        <v>10.762534901787795</v>
      </c>
      <c r="J12" s="1576">
        <f t="shared" si="2"/>
        <v>-304938000</v>
      </c>
      <c r="K12" s="1342">
        <f t="shared" si="3"/>
        <v>-53.503714439114425</v>
      </c>
    </row>
    <row r="13" spans="1:11" ht="15.95" customHeight="1" x14ac:dyDescent="0.3">
      <c r="A13" s="1337"/>
      <c r="B13" s="1344"/>
      <c r="C13" s="1349"/>
      <c r="D13" s="1352"/>
      <c r="E13" s="1347" t="s">
        <v>456</v>
      </c>
      <c r="F13" s="1339">
        <f>수입예산!G79</f>
        <v>35000000</v>
      </c>
      <c r="G13" s="1340">
        <f t="shared" si="0"/>
        <v>0.65543071161048694</v>
      </c>
      <c r="H13" s="1339">
        <f>수입예산!H79</f>
        <v>165636000</v>
      </c>
      <c r="I13" s="1340">
        <f t="shared" si="1"/>
        <v>3.1278195715894066</v>
      </c>
      <c r="J13" s="1576">
        <f t="shared" si="2"/>
        <v>-130636000</v>
      </c>
      <c r="K13" s="1342">
        <f t="shared" si="3"/>
        <v>-78.869327923881286</v>
      </c>
    </row>
    <row r="14" spans="1:11" s="1345" customFormat="1" ht="15.95" customHeight="1" x14ac:dyDescent="0.3">
      <c r="A14" s="1343"/>
      <c r="B14" s="1344"/>
      <c r="C14" s="1349"/>
      <c r="D14" s="1964" t="s">
        <v>619</v>
      </c>
      <c r="E14" s="1964"/>
      <c r="F14" s="1339">
        <f>SUM(F15:F17)</f>
        <v>0</v>
      </c>
      <c r="G14" s="1340">
        <f t="shared" si="0"/>
        <v>0</v>
      </c>
      <c r="H14" s="1339">
        <f>SUM(H15:H17)</f>
        <v>0</v>
      </c>
      <c r="I14" s="1340">
        <f t="shared" si="1"/>
        <v>0</v>
      </c>
      <c r="J14" s="1576">
        <f t="shared" si="2"/>
        <v>0</v>
      </c>
      <c r="K14" s="1342" t="e">
        <f t="shared" si="3"/>
        <v>#DIV/0!</v>
      </c>
    </row>
    <row r="15" spans="1:11" ht="12" hidden="1" customHeight="1" x14ac:dyDescent="0.3">
      <c r="A15" s="1337"/>
      <c r="B15" s="1353"/>
      <c r="C15" s="1354"/>
      <c r="D15" s="1355"/>
      <c r="E15" s="1347" t="s">
        <v>459</v>
      </c>
      <c r="F15" s="1339">
        <v>0</v>
      </c>
      <c r="G15" s="1340">
        <f t="shared" si="0"/>
        <v>0</v>
      </c>
      <c r="H15" s="1339">
        <v>0</v>
      </c>
      <c r="I15" s="1340">
        <f t="shared" si="1"/>
        <v>0</v>
      </c>
      <c r="J15" s="1576">
        <f t="shared" si="2"/>
        <v>0</v>
      </c>
      <c r="K15" s="1342" t="e">
        <f t="shared" si="3"/>
        <v>#DIV/0!</v>
      </c>
    </row>
    <row r="16" spans="1:11" ht="15.95" customHeight="1" x14ac:dyDescent="0.3">
      <c r="A16" s="1337"/>
      <c r="B16" s="1356"/>
      <c r="C16" s="1354"/>
      <c r="D16" s="1357"/>
      <c r="E16" s="1347" t="s">
        <v>416</v>
      </c>
      <c r="F16" s="1339">
        <f>수입예산!G86</f>
        <v>0</v>
      </c>
      <c r="G16" s="1340">
        <f t="shared" si="0"/>
        <v>0</v>
      </c>
      <c r="H16" s="1339">
        <f>수입예산!H86</f>
        <v>0</v>
      </c>
      <c r="I16" s="1340">
        <f t="shared" si="1"/>
        <v>0</v>
      </c>
      <c r="J16" s="1576">
        <f t="shared" si="2"/>
        <v>0</v>
      </c>
      <c r="K16" s="1342" t="e">
        <f t="shared" si="3"/>
        <v>#DIV/0!</v>
      </c>
    </row>
    <row r="17" spans="1:11" ht="15.95" customHeight="1" x14ac:dyDescent="0.3">
      <c r="A17" s="1337"/>
      <c r="B17" s="1356"/>
      <c r="C17" s="1354"/>
      <c r="D17" s="1358"/>
      <c r="E17" s="1347" t="s">
        <v>460</v>
      </c>
      <c r="F17" s="1339">
        <f>수입예산!G88</f>
        <v>0</v>
      </c>
      <c r="G17" s="1340">
        <f t="shared" si="0"/>
        <v>0</v>
      </c>
      <c r="H17" s="1339">
        <f>수입예산!H88</f>
        <v>0</v>
      </c>
      <c r="I17" s="1340">
        <f t="shared" si="1"/>
        <v>0</v>
      </c>
      <c r="J17" s="1576">
        <f t="shared" si="2"/>
        <v>0</v>
      </c>
      <c r="K17" s="1342"/>
    </row>
    <row r="18" spans="1:11" s="1345" customFormat="1" ht="15.95" customHeight="1" x14ac:dyDescent="0.3">
      <c r="A18" s="1343"/>
      <c r="B18" s="1359"/>
      <c r="C18" s="1349"/>
      <c r="D18" s="1967" t="s">
        <v>563</v>
      </c>
      <c r="E18" s="1964"/>
      <c r="F18" s="1339">
        <f>SUM(F19:F22)</f>
        <v>100000000</v>
      </c>
      <c r="G18" s="1340">
        <f t="shared" si="0"/>
        <v>1.8726591760299627</v>
      </c>
      <c r="H18" s="1339">
        <f>SUM(H19:H22)</f>
        <v>100000000</v>
      </c>
      <c r="I18" s="1340">
        <f t="shared" si="1"/>
        <v>1.8883694194434826</v>
      </c>
      <c r="J18" s="1576">
        <f t="shared" si="2"/>
        <v>0</v>
      </c>
      <c r="K18" s="1342">
        <f t="shared" si="3"/>
        <v>0</v>
      </c>
    </row>
    <row r="19" spans="1:11" ht="12" hidden="1" customHeight="1" x14ac:dyDescent="0.3">
      <c r="A19" s="1337"/>
      <c r="B19" s="1356"/>
      <c r="C19" s="1354"/>
      <c r="D19" s="1360"/>
      <c r="E19" s="1347" t="s">
        <v>466</v>
      </c>
      <c r="F19" s="1339">
        <v>0</v>
      </c>
      <c r="G19" s="1340">
        <f t="shared" si="0"/>
        <v>0</v>
      </c>
      <c r="H19" s="1339">
        <v>0</v>
      </c>
      <c r="I19" s="1340">
        <f t="shared" si="1"/>
        <v>0</v>
      </c>
      <c r="J19" s="1576">
        <f t="shared" si="2"/>
        <v>0</v>
      </c>
      <c r="K19" s="1342" t="e">
        <f t="shared" si="3"/>
        <v>#DIV/0!</v>
      </c>
    </row>
    <row r="20" spans="1:11" ht="12" hidden="1" customHeight="1" x14ac:dyDescent="0.3">
      <c r="A20" s="1337"/>
      <c r="B20" s="1356"/>
      <c r="C20" s="1354"/>
      <c r="D20" s="1361"/>
      <c r="E20" s="1347" t="s">
        <v>463</v>
      </c>
      <c r="F20" s="1339">
        <v>0</v>
      </c>
      <c r="G20" s="1340">
        <f t="shared" si="0"/>
        <v>0</v>
      </c>
      <c r="H20" s="1339">
        <v>0</v>
      </c>
      <c r="I20" s="1340">
        <f t="shared" si="1"/>
        <v>0</v>
      </c>
      <c r="J20" s="1576">
        <f t="shared" si="2"/>
        <v>0</v>
      </c>
      <c r="K20" s="1342" t="e">
        <f t="shared" si="3"/>
        <v>#DIV/0!</v>
      </c>
    </row>
    <row r="21" spans="1:11" ht="15.95" customHeight="1" x14ac:dyDescent="0.3">
      <c r="A21" s="1337"/>
      <c r="B21" s="1356"/>
      <c r="C21" s="1349"/>
      <c r="D21" s="1357"/>
      <c r="E21" s="1347" t="s">
        <v>408</v>
      </c>
      <c r="F21" s="1339">
        <f>수입예산!G91</f>
        <v>100000000</v>
      </c>
      <c r="G21" s="1340">
        <f t="shared" si="0"/>
        <v>1.8726591760299627</v>
      </c>
      <c r="H21" s="1339">
        <f>수입예산!H91</f>
        <v>100000000</v>
      </c>
      <c r="I21" s="1340">
        <f t="shared" si="1"/>
        <v>1.8883694194434826</v>
      </c>
      <c r="J21" s="1576">
        <f t="shared" si="2"/>
        <v>0</v>
      </c>
      <c r="K21" s="1342">
        <f t="shared" si="3"/>
        <v>0</v>
      </c>
    </row>
    <row r="22" spans="1:11" ht="12" hidden="1" customHeight="1" x14ac:dyDescent="0.3">
      <c r="A22" s="1337"/>
      <c r="B22" s="1359"/>
      <c r="C22" s="1349"/>
      <c r="D22" s="1358"/>
      <c r="E22" s="1347" t="s">
        <v>477</v>
      </c>
      <c r="F22" s="1339">
        <v>0</v>
      </c>
      <c r="G22" s="1340">
        <f t="shared" si="0"/>
        <v>0</v>
      </c>
      <c r="H22" s="1339">
        <v>0</v>
      </c>
      <c r="I22" s="1340">
        <f t="shared" si="1"/>
        <v>0</v>
      </c>
      <c r="J22" s="1576">
        <f t="shared" si="2"/>
        <v>0</v>
      </c>
      <c r="K22" s="1342" t="e">
        <f t="shared" si="3"/>
        <v>#DIV/0!</v>
      </c>
    </row>
    <row r="23" spans="1:11" ht="12" hidden="1" customHeight="1" x14ac:dyDescent="0.3">
      <c r="A23" s="1337"/>
      <c r="B23" s="1359"/>
      <c r="C23" s="1362"/>
      <c r="D23" s="1966" t="s">
        <v>552</v>
      </c>
      <c r="E23" s="1967"/>
      <c r="F23" s="1339">
        <f>F24</f>
        <v>0</v>
      </c>
      <c r="G23" s="1340">
        <f t="shared" si="0"/>
        <v>0</v>
      </c>
      <c r="H23" s="1339">
        <f>H24</f>
        <v>0</v>
      </c>
      <c r="I23" s="1340">
        <v>0</v>
      </c>
      <c r="J23" s="1576">
        <f t="shared" si="2"/>
        <v>0</v>
      </c>
      <c r="K23" s="1342" t="e">
        <f t="shared" si="3"/>
        <v>#DIV/0!</v>
      </c>
    </row>
    <row r="24" spans="1:11" ht="12" hidden="1" customHeight="1" x14ac:dyDescent="0.3">
      <c r="A24" s="1337"/>
      <c r="B24" s="1344"/>
      <c r="C24" s="1362"/>
      <c r="D24" s="1352"/>
      <c r="E24" s="1347" t="s">
        <v>502</v>
      </c>
      <c r="F24" s="1339">
        <v>0</v>
      </c>
      <c r="G24" s="1340">
        <f t="shared" si="0"/>
        <v>0</v>
      </c>
      <c r="H24" s="1339">
        <v>0</v>
      </c>
      <c r="I24" s="1340">
        <v>0</v>
      </c>
      <c r="J24" s="1576">
        <f t="shared" si="2"/>
        <v>0</v>
      </c>
      <c r="K24" s="1342" t="e">
        <f t="shared" si="3"/>
        <v>#DIV/0!</v>
      </c>
    </row>
    <row r="25" spans="1:11" ht="15.95" customHeight="1" x14ac:dyDescent="0.3">
      <c r="A25" s="1337"/>
      <c r="B25" s="1344"/>
      <c r="C25" s="1362"/>
      <c r="D25" s="1968" t="s">
        <v>615</v>
      </c>
      <c r="E25" s="1967"/>
      <c r="F25" s="1339">
        <f>SUM(F26)</f>
        <v>0</v>
      </c>
      <c r="G25" s="1340">
        <f t="shared" si="0"/>
        <v>0</v>
      </c>
      <c r="H25" s="1339">
        <f>H26</f>
        <v>0</v>
      </c>
      <c r="I25" s="1340">
        <v>0</v>
      </c>
      <c r="J25" s="1576">
        <f t="shared" si="2"/>
        <v>0</v>
      </c>
      <c r="K25" s="1342" t="e">
        <f t="shared" si="3"/>
        <v>#DIV/0!</v>
      </c>
    </row>
    <row r="26" spans="1:11" ht="15.95" customHeight="1" x14ac:dyDescent="0.3">
      <c r="A26" s="1337"/>
      <c r="B26" s="1344"/>
      <c r="C26" s="1363"/>
      <c r="D26" s="1352"/>
      <c r="E26" s="1347" t="s">
        <v>487</v>
      </c>
      <c r="F26" s="1339">
        <f>수입예산!G95</f>
        <v>0</v>
      </c>
      <c r="G26" s="1340">
        <f t="shared" si="0"/>
        <v>0</v>
      </c>
      <c r="H26" s="1339">
        <f>수입예산!H95</f>
        <v>0</v>
      </c>
      <c r="I26" s="1340">
        <v>0</v>
      </c>
      <c r="J26" s="1341">
        <f t="shared" si="2"/>
        <v>0</v>
      </c>
      <c r="K26" s="1342" t="e">
        <f t="shared" si="3"/>
        <v>#DIV/0!</v>
      </c>
    </row>
    <row r="27" spans="1:11" ht="15.95" customHeight="1" x14ac:dyDescent="0.3">
      <c r="A27" s="1337"/>
      <c r="B27" s="1344"/>
      <c r="C27" s="1964" t="s">
        <v>679</v>
      </c>
      <c r="D27" s="1964"/>
      <c r="E27" s="1964"/>
      <c r="F27" s="1339">
        <f>F28+F30</f>
        <v>0</v>
      </c>
      <c r="G27" s="1340">
        <f t="shared" si="0"/>
        <v>0</v>
      </c>
      <c r="H27" s="1339">
        <f>H28+H30</f>
        <v>0</v>
      </c>
      <c r="I27" s="1340">
        <f t="shared" si="1"/>
        <v>0</v>
      </c>
      <c r="J27" s="1341">
        <f t="shared" si="2"/>
        <v>0</v>
      </c>
      <c r="K27" s="1342" t="e">
        <f t="shared" si="3"/>
        <v>#DIV/0!</v>
      </c>
    </row>
    <row r="28" spans="1:11" s="1345" customFormat="1" ht="15.95" customHeight="1" x14ac:dyDescent="0.3">
      <c r="A28" s="1343"/>
      <c r="B28" s="1344"/>
      <c r="C28" s="1348"/>
      <c r="D28" s="1964" t="s">
        <v>692</v>
      </c>
      <c r="E28" s="1964"/>
      <c r="F28" s="1339">
        <f>F29</f>
        <v>0</v>
      </c>
      <c r="G28" s="1340">
        <f t="shared" si="0"/>
        <v>0</v>
      </c>
      <c r="H28" s="1339">
        <f>H29</f>
        <v>0</v>
      </c>
      <c r="I28" s="1340">
        <f t="shared" si="1"/>
        <v>0</v>
      </c>
      <c r="J28" s="1341">
        <f t="shared" si="2"/>
        <v>0</v>
      </c>
      <c r="K28" s="1342" t="e">
        <f t="shared" si="3"/>
        <v>#DIV/0!</v>
      </c>
    </row>
    <row r="29" spans="1:11" ht="15.95" customHeight="1" x14ac:dyDescent="0.3">
      <c r="A29" s="1337"/>
      <c r="B29" s="1344"/>
      <c r="C29" s="1349"/>
      <c r="D29" s="1346"/>
      <c r="E29" s="1347" t="s">
        <v>457</v>
      </c>
      <c r="F29" s="1339">
        <f>수입예산!G99</f>
        <v>0</v>
      </c>
      <c r="G29" s="1340">
        <f t="shared" si="0"/>
        <v>0</v>
      </c>
      <c r="H29" s="1339">
        <f>수입예산!H99</f>
        <v>0</v>
      </c>
      <c r="I29" s="1340">
        <f t="shared" si="1"/>
        <v>0</v>
      </c>
      <c r="J29" s="1341">
        <f t="shared" si="2"/>
        <v>0</v>
      </c>
      <c r="K29" s="1342" t="e">
        <f t="shared" si="3"/>
        <v>#DIV/0!</v>
      </c>
    </row>
    <row r="30" spans="1:11" s="1345" customFormat="1" ht="15.95" customHeight="1" x14ac:dyDescent="0.3">
      <c r="A30" s="1343"/>
      <c r="B30" s="1344"/>
      <c r="C30" s="1349"/>
      <c r="D30" s="1964" t="s">
        <v>683</v>
      </c>
      <c r="E30" s="1964"/>
      <c r="F30" s="1339">
        <f>F31</f>
        <v>0</v>
      </c>
      <c r="G30" s="1340">
        <f t="shared" si="0"/>
        <v>0</v>
      </c>
      <c r="H30" s="1339">
        <f>H31</f>
        <v>0</v>
      </c>
      <c r="I30" s="1340">
        <f t="shared" si="1"/>
        <v>0</v>
      </c>
      <c r="J30" s="1341">
        <f t="shared" si="2"/>
        <v>0</v>
      </c>
      <c r="K30" s="1342" t="e">
        <f t="shared" si="3"/>
        <v>#DIV/0!</v>
      </c>
    </row>
    <row r="31" spans="1:11" ht="15.95" customHeight="1" x14ac:dyDescent="0.3">
      <c r="A31" s="1337"/>
      <c r="B31" s="1364"/>
      <c r="C31" s="1365"/>
      <c r="D31" s="1346"/>
      <c r="E31" s="1347" t="s">
        <v>469</v>
      </c>
      <c r="F31" s="1339">
        <f>수입예산!G102</f>
        <v>0</v>
      </c>
      <c r="G31" s="1340">
        <f t="shared" si="0"/>
        <v>0</v>
      </c>
      <c r="H31" s="1339">
        <f>수입예산!H102</f>
        <v>0</v>
      </c>
      <c r="I31" s="1340">
        <f t="shared" si="1"/>
        <v>0</v>
      </c>
      <c r="J31" s="1341">
        <f t="shared" si="2"/>
        <v>0</v>
      </c>
      <c r="K31" s="1342" t="e">
        <f t="shared" si="3"/>
        <v>#DIV/0!</v>
      </c>
    </row>
    <row r="32" spans="1:11" s="1284" customFormat="1" ht="18.75" customHeight="1" x14ac:dyDescent="0.3">
      <c r="B32" s="1969" t="s">
        <v>637</v>
      </c>
      <c r="C32" s="1970"/>
      <c r="D32" s="1970"/>
      <c r="E32" s="1970"/>
      <c r="F32" s="1333">
        <f>F33+F44+F50</f>
        <v>4000000000</v>
      </c>
      <c r="G32" s="1334">
        <f t="shared" si="0"/>
        <v>74.906367041198507</v>
      </c>
      <c r="H32" s="1333">
        <f>H33+H44+H50</f>
        <v>3410000000</v>
      </c>
      <c r="I32" s="1334">
        <f t="shared" si="1"/>
        <v>64.393397203022744</v>
      </c>
      <c r="J32" s="1335">
        <f t="shared" si="2"/>
        <v>590000000</v>
      </c>
      <c r="K32" s="1336">
        <f t="shared" si="3"/>
        <v>17.302052785923756</v>
      </c>
    </row>
    <row r="33" spans="1:11" ht="12" hidden="1" customHeight="1" x14ac:dyDescent="0.3">
      <c r="A33" s="1337"/>
      <c r="B33" s="1366"/>
      <c r="C33" s="1971" t="s">
        <v>587</v>
      </c>
      <c r="D33" s="1971"/>
      <c r="E33" s="1971"/>
      <c r="F33" s="1367">
        <f>F34+F39</f>
        <v>0</v>
      </c>
      <c r="G33" s="1368">
        <f t="shared" si="0"/>
        <v>0</v>
      </c>
      <c r="H33" s="1367">
        <f>H34+H39</f>
        <v>0</v>
      </c>
      <c r="I33" s="1368">
        <f t="shared" si="1"/>
        <v>0</v>
      </c>
      <c r="J33" s="1369">
        <f t="shared" si="2"/>
        <v>0</v>
      </c>
      <c r="K33" s="1370" t="e">
        <f t="shared" si="3"/>
        <v>#DIV/0!</v>
      </c>
    </row>
    <row r="34" spans="1:11" ht="12" hidden="1" customHeight="1" x14ac:dyDescent="0.3">
      <c r="A34" s="1337"/>
      <c r="B34" s="1371"/>
      <c r="C34" s="1372"/>
      <c r="D34" s="1971" t="s">
        <v>594</v>
      </c>
      <c r="E34" s="1971"/>
      <c r="F34" s="1367">
        <f>SUM(F35:F38)</f>
        <v>0</v>
      </c>
      <c r="G34" s="1368">
        <f t="shared" si="0"/>
        <v>0</v>
      </c>
      <c r="H34" s="1367">
        <f>SUM(H35:H38)</f>
        <v>0</v>
      </c>
      <c r="I34" s="1368">
        <f t="shared" si="1"/>
        <v>0</v>
      </c>
      <c r="J34" s="1369">
        <f t="shared" si="2"/>
        <v>0</v>
      </c>
      <c r="K34" s="1370" t="e">
        <f t="shared" si="3"/>
        <v>#DIV/0!</v>
      </c>
    </row>
    <row r="35" spans="1:11" ht="12" hidden="1" customHeight="1" x14ac:dyDescent="0.3">
      <c r="A35" s="1337"/>
      <c r="B35" s="1371"/>
      <c r="C35" s="1373"/>
      <c r="D35" s="1374"/>
      <c r="E35" s="1375" t="s">
        <v>604</v>
      </c>
      <c r="F35" s="1367">
        <v>0</v>
      </c>
      <c r="G35" s="1368">
        <f t="shared" si="0"/>
        <v>0</v>
      </c>
      <c r="H35" s="1367">
        <v>0</v>
      </c>
      <c r="I35" s="1368">
        <f t="shared" si="1"/>
        <v>0</v>
      </c>
      <c r="J35" s="1369">
        <f t="shared" si="2"/>
        <v>0</v>
      </c>
      <c r="K35" s="1370" t="e">
        <f t="shared" si="3"/>
        <v>#DIV/0!</v>
      </c>
    </row>
    <row r="36" spans="1:11" ht="12" hidden="1" customHeight="1" x14ac:dyDescent="0.3">
      <c r="A36" s="1337"/>
      <c r="B36" s="1371"/>
      <c r="C36" s="1373"/>
      <c r="D36" s="1376"/>
      <c r="E36" s="1375" t="s">
        <v>609</v>
      </c>
      <c r="F36" s="1367">
        <v>0</v>
      </c>
      <c r="G36" s="1368">
        <f t="shared" si="0"/>
        <v>0</v>
      </c>
      <c r="H36" s="1367">
        <v>0</v>
      </c>
      <c r="I36" s="1368">
        <f t="shared" si="1"/>
        <v>0</v>
      </c>
      <c r="J36" s="1369">
        <f t="shared" si="2"/>
        <v>0</v>
      </c>
      <c r="K36" s="1370" t="e">
        <f t="shared" si="3"/>
        <v>#DIV/0!</v>
      </c>
    </row>
    <row r="37" spans="1:11" ht="12" hidden="1" customHeight="1" x14ac:dyDescent="0.3">
      <c r="A37" s="1337"/>
      <c r="B37" s="1371"/>
      <c r="C37" s="1373"/>
      <c r="D37" s="1376"/>
      <c r="E37" s="1375" t="s">
        <v>603</v>
      </c>
      <c r="F37" s="1367">
        <v>0</v>
      </c>
      <c r="G37" s="1368">
        <f t="shared" si="0"/>
        <v>0</v>
      </c>
      <c r="H37" s="1367">
        <v>0</v>
      </c>
      <c r="I37" s="1368">
        <f t="shared" si="1"/>
        <v>0</v>
      </c>
      <c r="J37" s="1369">
        <f t="shared" si="2"/>
        <v>0</v>
      </c>
      <c r="K37" s="1370" t="e">
        <f t="shared" si="3"/>
        <v>#DIV/0!</v>
      </c>
    </row>
    <row r="38" spans="1:11" ht="12" hidden="1" customHeight="1" x14ac:dyDescent="0.3">
      <c r="A38" s="1337"/>
      <c r="B38" s="1371"/>
      <c r="C38" s="1373"/>
      <c r="D38" s="1377"/>
      <c r="E38" s="1375" t="s">
        <v>596</v>
      </c>
      <c r="F38" s="1367">
        <v>0</v>
      </c>
      <c r="G38" s="1368">
        <f t="shared" si="0"/>
        <v>0</v>
      </c>
      <c r="H38" s="1367">
        <v>0</v>
      </c>
      <c r="I38" s="1368">
        <f t="shared" si="1"/>
        <v>0</v>
      </c>
      <c r="J38" s="1369">
        <f t="shared" si="2"/>
        <v>0</v>
      </c>
      <c r="K38" s="1370" t="e">
        <f t="shared" si="3"/>
        <v>#DIV/0!</v>
      </c>
    </row>
    <row r="39" spans="1:11" ht="12" hidden="1" customHeight="1" x14ac:dyDescent="0.3">
      <c r="A39" s="1337"/>
      <c r="B39" s="1371"/>
      <c r="C39" s="1373"/>
      <c r="D39" s="1971" t="s">
        <v>588</v>
      </c>
      <c r="E39" s="1971"/>
      <c r="F39" s="1367">
        <f>SUM(F40:F43)</f>
        <v>0</v>
      </c>
      <c r="G39" s="1368">
        <f t="shared" si="0"/>
        <v>0</v>
      </c>
      <c r="H39" s="1367">
        <f>SUM(H40:H43)</f>
        <v>0</v>
      </c>
      <c r="I39" s="1368">
        <f t="shared" si="1"/>
        <v>0</v>
      </c>
      <c r="J39" s="1369">
        <f t="shared" si="2"/>
        <v>0</v>
      </c>
      <c r="K39" s="1370" t="e">
        <f t="shared" si="3"/>
        <v>#DIV/0!</v>
      </c>
    </row>
    <row r="40" spans="1:11" ht="12" hidden="1" customHeight="1" x14ac:dyDescent="0.3">
      <c r="A40" s="1337"/>
      <c r="B40" s="1371"/>
      <c r="C40" s="1373"/>
      <c r="D40" s="1374"/>
      <c r="E40" s="1375" t="s">
        <v>478</v>
      </c>
      <c r="F40" s="1367">
        <v>0</v>
      </c>
      <c r="G40" s="1368">
        <f t="shared" si="0"/>
        <v>0</v>
      </c>
      <c r="H40" s="1367">
        <v>0</v>
      </c>
      <c r="I40" s="1368">
        <f t="shared" si="1"/>
        <v>0</v>
      </c>
      <c r="J40" s="1369">
        <f t="shared" si="2"/>
        <v>0</v>
      </c>
      <c r="K40" s="1370" t="e">
        <f t="shared" si="3"/>
        <v>#DIV/0!</v>
      </c>
    </row>
    <row r="41" spans="1:11" ht="12" hidden="1" customHeight="1" x14ac:dyDescent="0.3">
      <c r="A41" s="1337"/>
      <c r="B41" s="1371"/>
      <c r="C41" s="1373"/>
      <c r="D41" s="1376"/>
      <c r="E41" s="1375" t="s">
        <v>410</v>
      </c>
      <c r="F41" s="1367">
        <v>0</v>
      </c>
      <c r="G41" s="1368">
        <f t="shared" si="0"/>
        <v>0</v>
      </c>
      <c r="H41" s="1367">
        <v>0</v>
      </c>
      <c r="I41" s="1368">
        <f t="shared" si="1"/>
        <v>0</v>
      </c>
      <c r="J41" s="1369">
        <f t="shared" si="2"/>
        <v>0</v>
      </c>
      <c r="K41" s="1370" t="e">
        <f t="shared" si="3"/>
        <v>#DIV/0!</v>
      </c>
    </row>
    <row r="42" spans="1:11" ht="12" hidden="1" customHeight="1" x14ac:dyDescent="0.3">
      <c r="A42" s="1337"/>
      <c r="B42" s="1371"/>
      <c r="C42" s="1373"/>
      <c r="D42" s="1376"/>
      <c r="E42" s="1375" t="s">
        <v>437</v>
      </c>
      <c r="F42" s="1367">
        <v>0</v>
      </c>
      <c r="G42" s="1368">
        <f t="shared" si="0"/>
        <v>0</v>
      </c>
      <c r="H42" s="1367">
        <v>0</v>
      </c>
      <c r="I42" s="1368">
        <f t="shared" si="1"/>
        <v>0</v>
      </c>
      <c r="J42" s="1369">
        <f t="shared" si="2"/>
        <v>0</v>
      </c>
      <c r="K42" s="1370" t="e">
        <f t="shared" si="3"/>
        <v>#DIV/0!</v>
      </c>
    </row>
    <row r="43" spans="1:11" ht="12" hidden="1" customHeight="1" x14ac:dyDescent="0.3">
      <c r="A43" s="1337"/>
      <c r="B43" s="1371"/>
      <c r="C43" s="1378"/>
      <c r="D43" s="1377"/>
      <c r="E43" s="1375" t="s">
        <v>434</v>
      </c>
      <c r="F43" s="1367">
        <v>0</v>
      </c>
      <c r="G43" s="1368">
        <f t="shared" si="0"/>
        <v>0</v>
      </c>
      <c r="H43" s="1367">
        <v>0</v>
      </c>
      <c r="I43" s="1368">
        <f t="shared" si="1"/>
        <v>0</v>
      </c>
      <c r="J43" s="1369">
        <f t="shared" si="2"/>
        <v>0</v>
      </c>
      <c r="K43" s="1370" t="e">
        <f t="shared" si="3"/>
        <v>#DIV/0!</v>
      </c>
    </row>
    <row r="44" spans="1:11" ht="15.95" customHeight="1" x14ac:dyDescent="0.3">
      <c r="A44" s="1337"/>
      <c r="B44" s="1338"/>
      <c r="C44" s="1964" t="s">
        <v>620</v>
      </c>
      <c r="D44" s="1964"/>
      <c r="E44" s="1964"/>
      <c r="F44" s="1339">
        <f>F45+F48</f>
        <v>4000000000</v>
      </c>
      <c r="G44" s="1340">
        <f t="shared" si="0"/>
        <v>74.906367041198507</v>
      </c>
      <c r="H44" s="1339">
        <f>H45+H48</f>
        <v>3410000000</v>
      </c>
      <c r="I44" s="1340">
        <f t="shared" si="1"/>
        <v>64.393397203022744</v>
      </c>
      <c r="J44" s="1341">
        <f t="shared" si="2"/>
        <v>590000000</v>
      </c>
      <c r="K44" s="1342">
        <f t="shared" si="3"/>
        <v>17.302052785923756</v>
      </c>
    </row>
    <row r="45" spans="1:11" ht="15.95" customHeight="1" x14ac:dyDescent="0.3">
      <c r="A45" s="1337"/>
      <c r="B45" s="1344"/>
      <c r="C45" s="1350"/>
      <c r="D45" s="1964" t="s">
        <v>635</v>
      </c>
      <c r="E45" s="1964"/>
      <c r="F45" s="1339">
        <f>SUM(F46:F47)</f>
        <v>0</v>
      </c>
      <c r="G45" s="1340">
        <f t="shared" si="0"/>
        <v>0</v>
      </c>
      <c r="H45" s="1339">
        <f>SUM(H46:H47)</f>
        <v>0</v>
      </c>
      <c r="I45" s="1340">
        <f t="shared" si="1"/>
        <v>0</v>
      </c>
      <c r="J45" s="1341">
        <f t="shared" si="2"/>
        <v>0</v>
      </c>
      <c r="K45" s="1342" t="e">
        <f t="shared" si="3"/>
        <v>#DIV/0!</v>
      </c>
    </row>
    <row r="46" spans="1:11" ht="12" hidden="1" customHeight="1" x14ac:dyDescent="0.3">
      <c r="A46" s="1337"/>
      <c r="B46" s="1344"/>
      <c r="C46" s="1379"/>
      <c r="D46" s="1350"/>
      <c r="E46" s="1347" t="s">
        <v>468</v>
      </c>
      <c r="F46" s="1339">
        <v>0</v>
      </c>
      <c r="G46" s="1340">
        <f t="shared" si="0"/>
        <v>0</v>
      </c>
      <c r="H46" s="1339">
        <v>0</v>
      </c>
      <c r="I46" s="1340">
        <f t="shared" si="1"/>
        <v>0</v>
      </c>
      <c r="J46" s="1341">
        <f t="shared" si="2"/>
        <v>0</v>
      </c>
      <c r="K46" s="1342" t="e">
        <f t="shared" si="3"/>
        <v>#DIV/0!</v>
      </c>
    </row>
    <row r="47" spans="1:11" ht="15.95" customHeight="1" x14ac:dyDescent="0.3">
      <c r="A47" s="1337"/>
      <c r="B47" s="1344"/>
      <c r="C47" s="1379"/>
      <c r="D47" s="1380"/>
      <c r="E47" s="1347" t="s">
        <v>400</v>
      </c>
      <c r="F47" s="1339">
        <f>수입예산!G107</f>
        <v>0</v>
      </c>
      <c r="G47" s="1340">
        <f t="shared" si="0"/>
        <v>0</v>
      </c>
      <c r="H47" s="1339">
        <f>수입예산!H107</f>
        <v>0</v>
      </c>
      <c r="I47" s="1340">
        <f t="shared" si="1"/>
        <v>0</v>
      </c>
      <c r="J47" s="1341">
        <f t="shared" si="2"/>
        <v>0</v>
      </c>
      <c r="K47" s="1342" t="e">
        <f t="shared" si="3"/>
        <v>#DIV/0!</v>
      </c>
    </row>
    <row r="48" spans="1:11" ht="15.95" customHeight="1" x14ac:dyDescent="0.3">
      <c r="A48" s="1337"/>
      <c r="B48" s="1344"/>
      <c r="C48" s="1379"/>
      <c r="D48" s="1964" t="s">
        <v>479</v>
      </c>
      <c r="E48" s="1964"/>
      <c r="F48" s="1339">
        <f>F49</f>
        <v>4000000000</v>
      </c>
      <c r="G48" s="1340">
        <f t="shared" si="0"/>
        <v>74.906367041198507</v>
      </c>
      <c r="H48" s="1339">
        <f>H49</f>
        <v>3410000000</v>
      </c>
      <c r="I48" s="1340">
        <f t="shared" si="1"/>
        <v>64.393397203022744</v>
      </c>
      <c r="J48" s="1341">
        <f t="shared" si="2"/>
        <v>590000000</v>
      </c>
      <c r="K48" s="1342">
        <f t="shared" si="3"/>
        <v>17.302052785923756</v>
      </c>
    </row>
    <row r="49" spans="1:11" ht="15.95" customHeight="1" x14ac:dyDescent="0.3">
      <c r="A49" s="1337"/>
      <c r="B49" s="1381"/>
      <c r="C49" s="1382"/>
      <c r="D49" s="1382"/>
      <c r="E49" s="1382" t="s">
        <v>395</v>
      </c>
      <c r="F49" s="1383">
        <f>수입예산!G110</f>
        <v>4000000000</v>
      </c>
      <c r="G49" s="1384">
        <f t="shared" si="0"/>
        <v>74.906367041198507</v>
      </c>
      <c r="H49" s="1383">
        <f>수입예산!H110</f>
        <v>3410000000</v>
      </c>
      <c r="I49" s="1384">
        <f t="shared" si="1"/>
        <v>64.393397203022744</v>
      </c>
      <c r="J49" s="1385">
        <f t="shared" si="2"/>
        <v>590000000</v>
      </c>
      <c r="K49" s="1386">
        <f t="shared" si="3"/>
        <v>17.302052785923756</v>
      </c>
    </row>
    <row r="50" spans="1:11" ht="15.95" customHeight="1" x14ac:dyDescent="0.3">
      <c r="A50" s="1337"/>
      <c r="B50" s="1387"/>
      <c r="C50" s="1965" t="s">
        <v>742</v>
      </c>
      <c r="D50" s="1965"/>
      <c r="E50" s="1965"/>
      <c r="F50" s="1388">
        <f>F51</f>
        <v>0</v>
      </c>
      <c r="G50" s="1389">
        <f t="shared" si="0"/>
        <v>0</v>
      </c>
      <c r="H50" s="1388">
        <f>H51</f>
        <v>0</v>
      </c>
      <c r="I50" s="1389">
        <f t="shared" si="1"/>
        <v>0</v>
      </c>
      <c r="J50" s="1390">
        <f t="shared" si="2"/>
        <v>0</v>
      </c>
      <c r="K50" s="1391" t="e">
        <f t="shared" si="3"/>
        <v>#DIV/0!</v>
      </c>
    </row>
    <row r="51" spans="1:11" s="225" customFormat="1" ht="15.95" customHeight="1" x14ac:dyDescent="0.3">
      <c r="A51" s="1392"/>
      <c r="B51" s="1344"/>
      <c r="C51" s="1348"/>
      <c r="D51" s="1964" t="s">
        <v>735</v>
      </c>
      <c r="E51" s="1964"/>
      <c r="F51" s="1339">
        <f>F52</f>
        <v>0</v>
      </c>
      <c r="G51" s="1340">
        <f t="shared" si="0"/>
        <v>0</v>
      </c>
      <c r="H51" s="1339">
        <f>H52</f>
        <v>0</v>
      </c>
      <c r="I51" s="1340">
        <f t="shared" si="1"/>
        <v>0</v>
      </c>
      <c r="J51" s="1341">
        <f t="shared" si="2"/>
        <v>0</v>
      </c>
      <c r="K51" s="1342" t="e">
        <f t="shared" si="3"/>
        <v>#DIV/0!</v>
      </c>
    </row>
    <row r="52" spans="1:11" s="225" customFormat="1" ht="15.75" customHeight="1" x14ac:dyDescent="0.3">
      <c r="A52" s="1392"/>
      <c r="B52" s="1381"/>
      <c r="C52" s="1394"/>
      <c r="D52" s="1395"/>
      <c r="E52" s="1395" t="s">
        <v>402</v>
      </c>
      <c r="F52" s="1396">
        <f>수입예산!G119</f>
        <v>0</v>
      </c>
      <c r="G52" s="1397">
        <f t="shared" si="0"/>
        <v>0</v>
      </c>
      <c r="H52" s="1396">
        <f>수입예산!H119</f>
        <v>0</v>
      </c>
      <c r="I52" s="1397">
        <f>H52/$H$5*100</f>
        <v>0</v>
      </c>
      <c r="J52" s="1398">
        <f t="shared" si="2"/>
        <v>0</v>
      </c>
      <c r="K52" s="1399" t="e">
        <f t="shared" si="3"/>
        <v>#DIV/0!</v>
      </c>
    </row>
    <row r="53" spans="1:11" x14ac:dyDescent="0.3">
      <c r="H53" s="1059"/>
    </row>
    <row r="54" spans="1:11" x14ac:dyDescent="0.3">
      <c r="F54" s="1086"/>
    </row>
    <row r="55" spans="1:11" x14ac:dyDescent="0.3">
      <c r="K55" s="1025" t="s">
        <v>67</v>
      </c>
    </row>
  </sheetData>
  <mergeCells count="28">
    <mergeCell ref="D18:E18"/>
    <mergeCell ref="G3:G4"/>
    <mergeCell ref="H3:H4"/>
    <mergeCell ref="K3:K4"/>
    <mergeCell ref="B5:E5"/>
    <mergeCell ref="I3:I4"/>
    <mergeCell ref="J3:J4"/>
    <mergeCell ref="C7:E7"/>
    <mergeCell ref="D8:E8"/>
    <mergeCell ref="B6:E6"/>
    <mergeCell ref="B3:E4"/>
    <mergeCell ref="F3:F4"/>
    <mergeCell ref="D48:E48"/>
    <mergeCell ref="C50:E50"/>
    <mergeCell ref="D51:E51"/>
    <mergeCell ref="D11:E11"/>
    <mergeCell ref="D14:E14"/>
    <mergeCell ref="D45:E45"/>
    <mergeCell ref="D23:E23"/>
    <mergeCell ref="D25:E25"/>
    <mergeCell ref="C27:E27"/>
    <mergeCell ref="D28:E28"/>
    <mergeCell ref="D30:E30"/>
    <mergeCell ref="B32:E32"/>
    <mergeCell ref="C33:E33"/>
    <mergeCell ref="D34:E34"/>
    <mergeCell ref="D39:E39"/>
    <mergeCell ref="C44:E44"/>
  </mergeCells>
  <phoneticPr fontId="53" type="noConversion"/>
  <printOptions horizontalCentered="1"/>
  <pageMargins left="0.27541667222976685" right="0.27541667222976685" top="0.74750000238418579" bottom="0.59041666984558105" header="0.43291667103767395" footer="0.31486111879348755"/>
  <pageSetup paperSize="9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FFFFFF"/>
    <pageSetUpPr fitToPage="1"/>
  </sheetPr>
  <dimension ref="A1:N83"/>
  <sheetViews>
    <sheetView view="pageBreakPreview" zoomScale="130" zoomScaleNormal="100" zoomScaleSheetLayoutView="130" workbookViewId="0">
      <selection activeCell="N23" sqref="N23"/>
    </sheetView>
  </sheetViews>
  <sheetFormatPr defaultColWidth="9" defaultRowHeight="13.5" x14ac:dyDescent="0.3"/>
  <cols>
    <col min="1" max="1" width="1.875" style="1025" customWidth="1"/>
    <col min="2" max="2" width="2.375" style="225" customWidth="1"/>
    <col min="3" max="3" width="2.25" style="225" customWidth="1"/>
    <col min="4" max="4" width="2.5" style="225" customWidth="1"/>
    <col min="5" max="5" width="25.25" style="225" customWidth="1"/>
    <col min="6" max="6" width="20.25" style="225" customWidth="1"/>
    <col min="7" max="7" width="11.375" style="225" customWidth="1"/>
    <col min="8" max="8" width="20.25" style="225" customWidth="1"/>
    <col min="9" max="10" width="11.5" style="225" customWidth="1"/>
    <col min="11" max="11" width="13" style="225" customWidth="1"/>
    <col min="12" max="12" width="6.25" style="594" customWidth="1"/>
    <col min="13" max="13" width="9" style="1403" customWidth="1"/>
    <col min="14" max="14" width="9" style="1403"/>
    <col min="15" max="16384" width="9" style="1025"/>
  </cols>
  <sheetData>
    <row r="1" spans="1:14" ht="22.5" customHeight="1" x14ac:dyDescent="0.3">
      <c r="B1" s="1326" t="s">
        <v>424</v>
      </c>
    </row>
    <row r="2" spans="1:14" ht="15.95" customHeight="1" x14ac:dyDescent="0.3">
      <c r="B2" s="1327" t="s">
        <v>96</v>
      </c>
      <c r="K2" s="1404" t="s">
        <v>639</v>
      </c>
      <c r="L2" s="1405"/>
    </row>
    <row r="3" spans="1:14" ht="16.5" customHeight="1" x14ac:dyDescent="0.3">
      <c r="B3" s="1897" t="s">
        <v>584</v>
      </c>
      <c r="C3" s="1898"/>
      <c r="D3" s="1898"/>
      <c r="E3" s="1979"/>
      <c r="F3" s="1974" t="s">
        <v>315</v>
      </c>
      <c r="G3" s="1990" t="s">
        <v>485</v>
      </c>
      <c r="H3" s="1974" t="s">
        <v>618</v>
      </c>
      <c r="I3" s="1990" t="s">
        <v>485</v>
      </c>
      <c r="J3" s="1974" t="s">
        <v>88</v>
      </c>
      <c r="K3" s="1984" t="s">
        <v>471</v>
      </c>
      <c r="L3" s="1406"/>
    </row>
    <row r="4" spans="1:14" ht="16.5" customHeight="1" x14ac:dyDescent="0.3">
      <c r="B4" s="1986"/>
      <c r="C4" s="1987"/>
      <c r="D4" s="1987"/>
      <c r="E4" s="1988"/>
      <c r="F4" s="1989"/>
      <c r="G4" s="1991"/>
      <c r="H4" s="1989"/>
      <c r="I4" s="1991"/>
      <c r="J4" s="1989"/>
      <c r="K4" s="1985"/>
      <c r="L4" s="1406"/>
    </row>
    <row r="5" spans="1:14" ht="15.6" customHeight="1" x14ac:dyDescent="0.3">
      <c r="B5" s="1924" t="s">
        <v>592</v>
      </c>
      <c r="C5" s="1983"/>
      <c r="D5" s="1983"/>
      <c r="E5" s="1925"/>
      <c r="F5" s="1407">
        <f>F6+F59+F75</f>
        <v>32072175407</v>
      </c>
      <c r="G5" s="1408">
        <f>F5/$F$5*100</f>
        <v>100</v>
      </c>
      <c r="H5" s="1407">
        <f>H6+H59+H75</f>
        <v>41866399552</v>
      </c>
      <c r="I5" s="1408">
        <f>H5/$H$5*100</f>
        <v>100</v>
      </c>
      <c r="J5" s="1407">
        <f>F5-H5</f>
        <v>-9794224145</v>
      </c>
      <c r="K5" s="1409">
        <f>J5/H5*100</f>
        <v>-23.393996736774849</v>
      </c>
      <c r="L5" s="1410"/>
    </row>
    <row r="6" spans="1:14" ht="15" customHeight="1" x14ac:dyDescent="0.3">
      <c r="B6" s="1411" t="s">
        <v>538</v>
      </c>
      <c r="C6" s="1412"/>
      <c r="D6" s="1413"/>
      <c r="E6" s="1414"/>
      <c r="F6" s="1415">
        <f>F7+F52</f>
        <v>26426013407</v>
      </c>
      <c r="G6" s="1408">
        <f t="shared" ref="G6:G60" si="0">F6/$F$5*100</f>
        <v>82.395450485196335</v>
      </c>
      <c r="H6" s="1415">
        <f>H7+H52</f>
        <v>29860697552</v>
      </c>
      <c r="I6" s="1408">
        <f t="shared" ref="I6:I60" si="1">H6/$H$5*100</f>
        <v>71.323777233128524</v>
      </c>
      <c r="J6" s="1407">
        <f t="shared" ref="J6:J60" si="2">F6-H6</f>
        <v>-3434684145</v>
      </c>
      <c r="K6" s="1409">
        <f t="shared" ref="K6:K60" si="3">J6/H6*100</f>
        <v>-11.502357367970975</v>
      </c>
      <c r="L6" s="1416"/>
    </row>
    <row r="7" spans="1:14" ht="15.6" customHeight="1" x14ac:dyDescent="0.3">
      <c r="B7" s="1417"/>
      <c r="C7" s="1412" t="s">
        <v>643</v>
      </c>
      <c r="D7" s="1413"/>
      <c r="E7" s="1414"/>
      <c r="F7" s="1333">
        <f>F8+F11+F12+F19+F22+F24+F27+F29+F33+F34+F36+F37+F40+F41+F42+F45+F47+F49+F51</f>
        <v>26426013407</v>
      </c>
      <c r="G7" s="1408">
        <f t="shared" si="0"/>
        <v>82.395450485196335</v>
      </c>
      <c r="H7" s="1333">
        <f>H8+H11+H12+H19+H22+H24+H27+H29+H33+H34+H36+H37+H40+H41+H42+H45+H47+H49+H51</f>
        <v>29853197552</v>
      </c>
      <c r="I7" s="1408">
        <f t="shared" si="1"/>
        <v>71.305863106095259</v>
      </c>
      <c r="J7" s="1407">
        <f t="shared" si="2"/>
        <v>-3427184145</v>
      </c>
      <c r="K7" s="1409">
        <f t="shared" si="3"/>
        <v>-11.480124161005987</v>
      </c>
      <c r="L7" s="1418"/>
    </row>
    <row r="8" spans="1:14" ht="15.6" customHeight="1" x14ac:dyDescent="0.3">
      <c r="B8" s="1419"/>
      <c r="C8" s="1362"/>
      <c r="D8" s="1420" t="s">
        <v>188</v>
      </c>
      <c r="E8" s="1363"/>
      <c r="F8" s="1339">
        <f>SUM(F9:F10)</f>
        <v>10495421913</v>
      </c>
      <c r="G8" s="1421">
        <f t="shared" si="0"/>
        <v>32.724384235904665</v>
      </c>
      <c r="H8" s="1339">
        <f>SUM(H9:H10)</f>
        <v>12222887892</v>
      </c>
      <c r="I8" s="1421">
        <f t="shared" si="1"/>
        <v>29.194982188087632</v>
      </c>
      <c r="J8" s="1577">
        <f t="shared" si="2"/>
        <v>-1727465979</v>
      </c>
      <c r="K8" s="1423">
        <f t="shared" si="3"/>
        <v>-14.133042814952459</v>
      </c>
      <c r="L8" s="1418"/>
    </row>
    <row r="9" spans="1:14" ht="15.6" customHeight="1" x14ac:dyDescent="0.3">
      <c r="B9" s="1419"/>
      <c r="C9" s="1362"/>
      <c r="D9" s="586"/>
      <c r="E9" s="1424" t="s">
        <v>364</v>
      </c>
      <c r="F9" s="1339">
        <v>9998339599</v>
      </c>
      <c r="G9" s="1421">
        <f t="shared" si="0"/>
        <v>31.174497744913758</v>
      </c>
      <c r="H9" s="1339">
        <v>11015063892</v>
      </c>
      <c r="I9" s="1421">
        <f t="shared" si="1"/>
        <v>26.310033845443964</v>
      </c>
      <c r="J9" s="1577">
        <f t="shared" si="2"/>
        <v>-1016724293</v>
      </c>
      <c r="K9" s="1423">
        <f t="shared" si="3"/>
        <v>-9.2303077219409015</v>
      </c>
      <c r="L9" s="1418"/>
    </row>
    <row r="10" spans="1:14" ht="15.6" customHeight="1" x14ac:dyDescent="0.3">
      <c r="A10" s="1430"/>
      <c r="B10" s="1426"/>
      <c r="C10" s="1362"/>
      <c r="D10" s="1431"/>
      <c r="E10" s="1432" t="s">
        <v>710</v>
      </c>
      <c r="F10" s="1339">
        <v>497082314</v>
      </c>
      <c r="G10" s="1421">
        <f t="shared" si="0"/>
        <v>1.549886490990904</v>
      </c>
      <c r="H10" s="1339">
        <v>1207824000</v>
      </c>
      <c r="I10" s="1421">
        <f t="shared" si="1"/>
        <v>2.8849483426436682</v>
      </c>
      <c r="J10" s="1577">
        <f t="shared" si="2"/>
        <v>-710741686</v>
      </c>
      <c r="K10" s="1423">
        <f t="shared" si="3"/>
        <v>-58.844805700168237</v>
      </c>
      <c r="L10" s="1428"/>
    </row>
    <row r="11" spans="1:14" ht="15.6" customHeight="1" x14ac:dyDescent="0.3">
      <c r="A11" s="1430"/>
      <c r="B11" s="1426"/>
      <c r="C11" s="1433"/>
      <c r="D11" s="1427" t="s">
        <v>690</v>
      </c>
      <c r="E11" s="1434"/>
      <c r="F11" s="1339">
        <v>1036569000</v>
      </c>
      <c r="G11" s="1421">
        <f t="shared" si="0"/>
        <v>3.2319884349776937</v>
      </c>
      <c r="H11" s="1339">
        <v>853779000</v>
      </c>
      <c r="I11" s="1421">
        <f t="shared" si="1"/>
        <v>2.0392940619113116</v>
      </c>
      <c r="J11" s="1577">
        <f t="shared" si="2"/>
        <v>182790000</v>
      </c>
      <c r="K11" s="1423">
        <f t="shared" si="3"/>
        <v>21.409521667785221</v>
      </c>
      <c r="L11" s="1428"/>
    </row>
    <row r="12" spans="1:14" s="1429" customFormat="1" ht="15.6" customHeight="1" x14ac:dyDescent="0.3">
      <c r="A12" s="1425"/>
      <c r="B12" s="1426"/>
      <c r="C12" s="1431"/>
      <c r="D12" s="1427" t="s">
        <v>551</v>
      </c>
      <c r="E12" s="1434"/>
      <c r="F12" s="1339">
        <f>SUM(F13:F18)</f>
        <v>2809940000</v>
      </c>
      <c r="G12" s="1421">
        <f t="shared" si="0"/>
        <v>8.7613015467192437</v>
      </c>
      <c r="H12" s="1339">
        <f>SUM(H13:H18)</f>
        <v>3088183000</v>
      </c>
      <c r="I12" s="1421">
        <f t="shared" si="1"/>
        <v>7.3762803418630121</v>
      </c>
      <c r="J12" s="1577">
        <f t="shared" si="2"/>
        <v>-278243000</v>
      </c>
      <c r="K12" s="1423">
        <f t="shared" si="3"/>
        <v>-9.0099259014119308</v>
      </c>
      <c r="L12" s="1428"/>
      <c r="M12" s="1403"/>
      <c r="N12" s="1403"/>
    </row>
    <row r="13" spans="1:14" s="1440" customFormat="1" ht="15.6" customHeight="1" x14ac:dyDescent="0.3">
      <c r="A13" s="1435"/>
      <c r="B13" s="1426"/>
      <c r="C13" s="1436"/>
      <c r="D13" s="1436"/>
      <c r="E13" s="1437" t="s">
        <v>650</v>
      </c>
      <c r="F13" s="1339">
        <v>1197132000</v>
      </c>
      <c r="G13" s="1421">
        <f t="shared" si="0"/>
        <v>3.7326186478099537</v>
      </c>
      <c r="H13" s="1339">
        <v>1111757000</v>
      </c>
      <c r="I13" s="1421">
        <f t="shared" si="1"/>
        <v>2.6554874837496989</v>
      </c>
      <c r="J13" s="1577">
        <f t="shared" si="2"/>
        <v>85375000</v>
      </c>
      <c r="K13" s="1423">
        <f t="shared" si="3"/>
        <v>7.6792860310301618</v>
      </c>
      <c r="L13" s="1438"/>
      <c r="M13" s="1439"/>
      <c r="N13" s="1439"/>
    </row>
    <row r="14" spans="1:14" ht="15" customHeight="1" x14ac:dyDescent="0.3">
      <c r="A14" s="1430"/>
      <c r="B14" s="1426"/>
      <c r="C14" s="1436"/>
      <c r="D14" s="1436"/>
      <c r="E14" s="1441" t="s">
        <v>534</v>
      </c>
      <c r="F14" s="1339">
        <v>502051000</v>
      </c>
      <c r="G14" s="1421">
        <f t="shared" si="0"/>
        <v>1.5653786923677884</v>
      </c>
      <c r="H14" s="1339">
        <v>703292000</v>
      </c>
      <c r="I14" s="1421">
        <f t="shared" si="1"/>
        <v>1.6798482972639643</v>
      </c>
      <c r="J14" s="1577">
        <f t="shared" si="2"/>
        <v>-201241000</v>
      </c>
      <c r="K14" s="1423">
        <f t="shared" si="3"/>
        <v>-28.614146044601675</v>
      </c>
      <c r="L14" s="1428"/>
    </row>
    <row r="15" spans="1:14" s="1448" customFormat="1" ht="15.6" customHeight="1" x14ac:dyDescent="0.3">
      <c r="A15" s="1442"/>
      <c r="B15" s="1426"/>
      <c r="C15" s="1436"/>
      <c r="D15" s="1443"/>
      <c r="E15" s="1444" t="s">
        <v>593</v>
      </c>
      <c r="F15" s="1339">
        <v>619032000</v>
      </c>
      <c r="G15" s="1445">
        <f t="shared" si="0"/>
        <v>1.9301216463941249</v>
      </c>
      <c r="H15" s="1339">
        <v>691260000</v>
      </c>
      <c r="I15" s="1445">
        <f t="shared" si="1"/>
        <v>1.6511092604020634</v>
      </c>
      <c r="J15" s="1578">
        <f t="shared" si="2"/>
        <v>-72228000</v>
      </c>
      <c r="K15" s="1423">
        <f t="shared" si="3"/>
        <v>-10.448745768596476</v>
      </c>
      <c r="L15" s="1447"/>
    </row>
    <row r="16" spans="1:14" s="1448" customFormat="1" ht="15.6" customHeight="1" x14ac:dyDescent="0.3">
      <c r="A16" s="1442"/>
      <c r="B16" s="1426"/>
      <c r="C16" s="1436"/>
      <c r="D16" s="1443"/>
      <c r="E16" s="1444" t="s">
        <v>213</v>
      </c>
      <c r="F16" s="1339">
        <v>145032000</v>
      </c>
      <c r="G16" s="1445">
        <f t="shared" si="0"/>
        <v>0.45220505986739407</v>
      </c>
      <c r="H16" s="1339">
        <v>120644000</v>
      </c>
      <c r="I16" s="1445">
        <f t="shared" si="1"/>
        <v>0.28816425890684627</v>
      </c>
      <c r="J16" s="1578">
        <f t="shared" si="2"/>
        <v>24388000</v>
      </c>
      <c r="K16" s="1423">
        <f t="shared" si="3"/>
        <v>20.214846987831969</v>
      </c>
      <c r="L16" s="1447"/>
    </row>
    <row r="17" spans="1:12" s="1448" customFormat="1" ht="15.6" customHeight="1" x14ac:dyDescent="0.3">
      <c r="A17" s="1442"/>
      <c r="B17" s="1426"/>
      <c r="C17" s="1436"/>
      <c r="D17" s="1443"/>
      <c r="E17" s="1444" t="s">
        <v>623</v>
      </c>
      <c r="F17" s="1339">
        <v>316893000</v>
      </c>
      <c r="G17" s="1445">
        <f t="shared" si="0"/>
        <v>0.98806206931269047</v>
      </c>
      <c r="H17" s="1339">
        <v>387054000</v>
      </c>
      <c r="I17" s="1445">
        <f t="shared" si="1"/>
        <v>0.92449793663116675</v>
      </c>
      <c r="J17" s="1578">
        <f t="shared" si="2"/>
        <v>-70161000</v>
      </c>
      <c r="K17" s="1423">
        <f t="shared" si="3"/>
        <v>-18.126928025546825</v>
      </c>
      <c r="L17" s="1447"/>
    </row>
    <row r="18" spans="1:12" s="1448" customFormat="1" ht="15.6" customHeight="1" x14ac:dyDescent="0.3">
      <c r="A18" s="1442"/>
      <c r="B18" s="1426"/>
      <c r="C18" s="1436"/>
      <c r="D18" s="1443"/>
      <c r="E18" s="1444" t="s">
        <v>562</v>
      </c>
      <c r="F18" s="1339">
        <v>29800000</v>
      </c>
      <c r="G18" s="1445">
        <f t="shared" si="0"/>
        <v>9.2915430967292351E-2</v>
      </c>
      <c r="H18" s="1339">
        <v>74176000</v>
      </c>
      <c r="I18" s="1445">
        <f t="shared" si="1"/>
        <v>0.17717310490927213</v>
      </c>
      <c r="J18" s="1578">
        <f t="shared" si="2"/>
        <v>-44376000</v>
      </c>
      <c r="K18" s="1423">
        <f t="shared" si="3"/>
        <v>-59.825280414150129</v>
      </c>
      <c r="L18" s="1447"/>
    </row>
    <row r="19" spans="1:12" ht="15.6" customHeight="1" x14ac:dyDescent="0.3">
      <c r="A19" s="1430"/>
      <c r="B19" s="1426"/>
      <c r="C19" s="1436"/>
      <c r="D19" s="1449" t="s">
        <v>233</v>
      </c>
      <c r="E19" s="1450"/>
      <c r="F19" s="1339">
        <f>SUM(F20:F21)</f>
        <v>520360000</v>
      </c>
      <c r="G19" s="1421">
        <f t="shared" si="0"/>
        <v>1.6224655589979948</v>
      </c>
      <c r="H19" s="1339">
        <f>SUM(H20:H21)</f>
        <v>440364000</v>
      </c>
      <c r="I19" s="1421">
        <f t="shared" si="1"/>
        <v>1.0518315515836216</v>
      </c>
      <c r="J19" s="1577">
        <f t="shared" si="2"/>
        <v>79996000</v>
      </c>
      <c r="K19" s="1423">
        <f t="shared" si="3"/>
        <v>18.165880953029767</v>
      </c>
      <c r="L19" s="1428"/>
    </row>
    <row r="20" spans="1:12" ht="15.6" customHeight="1" x14ac:dyDescent="0.3">
      <c r="A20" s="1430"/>
      <c r="B20" s="1426"/>
      <c r="C20" s="1436"/>
      <c r="D20" s="1436"/>
      <c r="E20" s="1437" t="s">
        <v>227</v>
      </c>
      <c r="F20" s="1339">
        <v>387502000</v>
      </c>
      <c r="G20" s="1421">
        <f t="shared" si="0"/>
        <v>1.2082186352579773</v>
      </c>
      <c r="H20" s="1339">
        <v>351734000</v>
      </c>
      <c r="I20" s="1421">
        <f t="shared" si="1"/>
        <v>0.84013434105583917</v>
      </c>
      <c r="J20" s="1577">
        <f t="shared" si="2"/>
        <v>35768000</v>
      </c>
      <c r="K20" s="1423">
        <f t="shared" si="3"/>
        <v>10.169048201197496</v>
      </c>
      <c r="L20" s="1428"/>
    </row>
    <row r="21" spans="1:12" ht="15.6" customHeight="1" x14ac:dyDescent="0.3">
      <c r="A21" s="1430"/>
      <c r="B21" s="1426"/>
      <c r="C21" s="1436"/>
      <c r="D21" s="1436"/>
      <c r="E21" s="1441" t="s">
        <v>624</v>
      </c>
      <c r="F21" s="1339">
        <v>132858000</v>
      </c>
      <c r="G21" s="1421">
        <f t="shared" si="0"/>
        <v>0.4142469237400177</v>
      </c>
      <c r="H21" s="1339">
        <v>88630000</v>
      </c>
      <c r="I21" s="1421">
        <f t="shared" si="1"/>
        <v>0.21169721052778243</v>
      </c>
      <c r="J21" s="1577">
        <f t="shared" si="2"/>
        <v>44228000</v>
      </c>
      <c r="K21" s="1423">
        <f t="shared" si="3"/>
        <v>49.901839106397382</v>
      </c>
      <c r="L21" s="1428"/>
    </row>
    <row r="22" spans="1:12" ht="15.6" customHeight="1" x14ac:dyDescent="0.3">
      <c r="A22" s="1430"/>
      <c r="B22" s="1426"/>
      <c r="C22" s="1436"/>
      <c r="D22" s="1449" t="s">
        <v>625</v>
      </c>
      <c r="E22" s="1451"/>
      <c r="F22" s="1339">
        <f>SUM(F23)</f>
        <v>71100000</v>
      </c>
      <c r="G22" s="1421">
        <f t="shared" si="0"/>
        <v>0.22168748797900961</v>
      </c>
      <c r="H22" s="1339">
        <f>SUM(H23)</f>
        <v>72600000</v>
      </c>
      <c r="I22" s="1421">
        <f t="shared" si="1"/>
        <v>0.17340874968201517</v>
      </c>
      <c r="J22" s="1577">
        <f t="shared" si="2"/>
        <v>-1500000</v>
      </c>
      <c r="K22" s="1423">
        <f t="shared" si="3"/>
        <v>-2.0661157024793391</v>
      </c>
      <c r="L22" s="1428"/>
    </row>
    <row r="23" spans="1:12" ht="15.6" customHeight="1" x14ac:dyDescent="0.3">
      <c r="A23" s="1430"/>
      <c r="B23" s="1426"/>
      <c r="C23" s="1436"/>
      <c r="D23" s="1452"/>
      <c r="E23" s="1453" t="s">
        <v>622</v>
      </c>
      <c r="F23" s="1339">
        <v>71100000</v>
      </c>
      <c r="G23" s="1421">
        <f t="shared" si="0"/>
        <v>0.22168748797900961</v>
      </c>
      <c r="H23" s="1339">
        <v>72600000</v>
      </c>
      <c r="I23" s="1421">
        <f t="shared" si="1"/>
        <v>0.17340874968201517</v>
      </c>
      <c r="J23" s="1577">
        <f t="shared" si="2"/>
        <v>-1500000</v>
      </c>
      <c r="K23" s="1423">
        <f t="shared" si="3"/>
        <v>-2.0661157024793391</v>
      </c>
      <c r="L23" s="1428"/>
    </row>
    <row r="24" spans="1:12" ht="15.6" customHeight="1" x14ac:dyDescent="0.3">
      <c r="A24" s="1430"/>
      <c r="B24" s="1426"/>
      <c r="C24" s="1436"/>
      <c r="D24" s="1449" t="s">
        <v>686</v>
      </c>
      <c r="E24" s="1451"/>
      <c r="F24" s="1339">
        <f>SUM(F25:F26)</f>
        <v>78480000</v>
      </c>
      <c r="G24" s="1421">
        <f t="shared" si="0"/>
        <v>0.24469808799708401</v>
      </c>
      <c r="H24" s="1339">
        <f>SUM(H25:H26)</f>
        <v>86160000</v>
      </c>
      <c r="I24" s="1421">
        <f t="shared" si="1"/>
        <v>0.20579749135816017</v>
      </c>
      <c r="J24" s="1577">
        <f t="shared" si="2"/>
        <v>-7680000</v>
      </c>
      <c r="K24" s="1423">
        <f t="shared" si="3"/>
        <v>-8.9136490250696383</v>
      </c>
      <c r="L24" s="1428"/>
    </row>
    <row r="25" spans="1:12" ht="15.6" customHeight="1" x14ac:dyDescent="0.3">
      <c r="A25" s="1430"/>
      <c r="B25" s="1426"/>
      <c r="C25" s="1436"/>
      <c r="D25" s="1452"/>
      <c r="E25" s="1454" t="s">
        <v>685</v>
      </c>
      <c r="F25" s="1339">
        <v>56400000</v>
      </c>
      <c r="G25" s="1421">
        <f t="shared" si="0"/>
        <v>0.17585336599178822</v>
      </c>
      <c r="H25" s="1339">
        <v>56400000</v>
      </c>
      <c r="I25" s="1421">
        <f t="shared" si="1"/>
        <v>0.13471423529016055</v>
      </c>
      <c r="J25" s="1577">
        <f t="shared" si="2"/>
        <v>0</v>
      </c>
      <c r="K25" s="1423">
        <f t="shared" si="3"/>
        <v>0</v>
      </c>
      <c r="L25" s="1428"/>
    </row>
    <row r="26" spans="1:12" s="1458" customFormat="1" ht="15.6" customHeight="1" x14ac:dyDescent="0.3">
      <c r="A26" s="1455"/>
      <c r="B26" s="1426"/>
      <c r="C26" s="1436"/>
      <c r="D26" s="1362"/>
      <c r="E26" s="1456" t="s">
        <v>695</v>
      </c>
      <c r="F26" s="1339">
        <v>22080000</v>
      </c>
      <c r="G26" s="1445">
        <f t="shared" si="0"/>
        <v>6.8844722005295803E-2</v>
      </c>
      <c r="H26" s="1339">
        <v>29760000</v>
      </c>
      <c r="I26" s="1445">
        <f t="shared" si="1"/>
        <v>7.1083256067999603E-2</v>
      </c>
      <c r="J26" s="1578">
        <f t="shared" si="2"/>
        <v>-7680000</v>
      </c>
      <c r="K26" s="1423">
        <f t="shared" si="3"/>
        <v>-25.806451612903224</v>
      </c>
      <c r="L26" s="1457"/>
    </row>
    <row r="27" spans="1:12" ht="15.6" customHeight="1" x14ac:dyDescent="0.3">
      <c r="A27" s="1430"/>
      <c r="B27" s="1426"/>
      <c r="C27" s="1436"/>
      <c r="D27" s="1449" t="s">
        <v>174</v>
      </c>
      <c r="E27" s="1451"/>
      <c r="F27" s="1339">
        <f>F28</f>
        <v>435450000</v>
      </c>
      <c r="G27" s="1421">
        <f t="shared" si="0"/>
        <v>1.3577189400908543</v>
      </c>
      <c r="H27" s="1339">
        <f>H28</f>
        <v>639650000</v>
      </c>
      <c r="I27" s="1421">
        <f t="shared" si="1"/>
        <v>1.5278361809104821</v>
      </c>
      <c r="J27" s="1577">
        <f t="shared" si="2"/>
        <v>-204200000</v>
      </c>
      <c r="K27" s="1423">
        <f t="shared" si="3"/>
        <v>-31.923708277964515</v>
      </c>
      <c r="L27" s="1428"/>
    </row>
    <row r="28" spans="1:12" ht="15.6" customHeight="1" x14ac:dyDescent="0.3">
      <c r="A28" s="1430"/>
      <c r="B28" s="1426"/>
      <c r="C28" s="1436"/>
      <c r="D28" s="1452"/>
      <c r="E28" s="1453" t="s">
        <v>701</v>
      </c>
      <c r="F28" s="1339">
        <v>435450000</v>
      </c>
      <c r="G28" s="1421">
        <f t="shared" si="0"/>
        <v>1.3577189400908543</v>
      </c>
      <c r="H28" s="1339">
        <v>639650000</v>
      </c>
      <c r="I28" s="1421">
        <f t="shared" si="1"/>
        <v>1.5278361809104821</v>
      </c>
      <c r="J28" s="1577">
        <f t="shared" si="2"/>
        <v>-204200000</v>
      </c>
      <c r="K28" s="1423">
        <f t="shared" si="3"/>
        <v>-31.923708277964515</v>
      </c>
      <c r="L28" s="1428"/>
    </row>
    <row r="29" spans="1:12" ht="15.6" customHeight="1" x14ac:dyDescent="0.3">
      <c r="A29" s="1430"/>
      <c r="B29" s="1426"/>
      <c r="C29" s="1436"/>
      <c r="D29" s="1449" t="s">
        <v>638</v>
      </c>
      <c r="E29" s="1451"/>
      <c r="F29" s="1339">
        <f>SUM(F30:F32)</f>
        <v>964619000</v>
      </c>
      <c r="G29" s="1421">
        <f t="shared" si="0"/>
        <v>3.0076506746388789</v>
      </c>
      <c r="H29" s="1339">
        <f>SUM(H30:H32)</f>
        <v>1398835000</v>
      </c>
      <c r="I29" s="1421">
        <f t="shared" si="1"/>
        <v>3.3411877184771579</v>
      </c>
      <c r="J29" s="1577">
        <f t="shared" si="2"/>
        <v>-434216000</v>
      </c>
      <c r="K29" s="1423">
        <f t="shared" si="3"/>
        <v>-31.041259333659792</v>
      </c>
      <c r="L29" s="1428"/>
    </row>
    <row r="30" spans="1:12" ht="15.6" customHeight="1" x14ac:dyDescent="0.3">
      <c r="A30" s="1430"/>
      <c r="B30" s="1426"/>
      <c r="C30" s="1436"/>
      <c r="D30" s="1452"/>
      <c r="E30" s="1459" t="s">
        <v>684</v>
      </c>
      <c r="F30" s="1339">
        <v>185600000</v>
      </c>
      <c r="G30" s="1421">
        <f t="shared" si="0"/>
        <v>0.57869476468219661</v>
      </c>
      <c r="H30" s="1339">
        <v>161500000</v>
      </c>
      <c r="I30" s="1421">
        <f t="shared" si="1"/>
        <v>0.38575086878299519</v>
      </c>
      <c r="J30" s="1577">
        <f t="shared" si="2"/>
        <v>24100000</v>
      </c>
      <c r="K30" s="1423">
        <f t="shared" si="3"/>
        <v>14.922600619195048</v>
      </c>
      <c r="L30" s="1428"/>
    </row>
    <row r="31" spans="1:12" ht="15.6" customHeight="1" x14ac:dyDescent="0.3">
      <c r="A31" s="1430"/>
      <c r="B31" s="1460"/>
      <c r="C31" s="1461"/>
      <c r="D31" s="1462"/>
      <c r="E31" s="1463" t="s">
        <v>627</v>
      </c>
      <c r="F31" s="1396">
        <v>0</v>
      </c>
      <c r="G31" s="1400">
        <f t="shared" si="0"/>
        <v>0</v>
      </c>
      <c r="H31" s="1396">
        <v>400000000</v>
      </c>
      <c r="I31" s="1400">
        <f t="shared" si="1"/>
        <v>0.95542010844085501</v>
      </c>
      <c r="J31" s="1579">
        <f t="shared" si="2"/>
        <v>-400000000</v>
      </c>
      <c r="K31" s="1423">
        <f t="shared" si="3"/>
        <v>-100</v>
      </c>
      <c r="L31" s="1428"/>
    </row>
    <row r="32" spans="1:12" ht="15.6" customHeight="1" x14ac:dyDescent="0.3">
      <c r="A32" s="1430"/>
      <c r="B32" s="1464"/>
      <c r="C32" s="1465"/>
      <c r="D32" s="1466"/>
      <c r="E32" s="1467" t="s">
        <v>547</v>
      </c>
      <c r="F32" s="1388">
        <v>779019000</v>
      </c>
      <c r="G32" s="1468">
        <f t="shared" si="0"/>
        <v>2.4289559099566818</v>
      </c>
      <c r="H32" s="1388">
        <v>837335000</v>
      </c>
      <c r="I32" s="1468">
        <f t="shared" si="1"/>
        <v>2.0000167412533081</v>
      </c>
      <c r="J32" s="1580">
        <f t="shared" si="2"/>
        <v>-58316000</v>
      </c>
      <c r="K32" s="1423">
        <f t="shared" si="3"/>
        <v>-6.9644765834462916</v>
      </c>
      <c r="L32" s="1428"/>
    </row>
    <row r="33" spans="1:12" ht="15.95" customHeight="1" x14ac:dyDescent="0.3">
      <c r="A33" s="1430"/>
      <c r="B33" s="1426"/>
      <c r="C33" s="1436"/>
      <c r="D33" s="1449" t="s">
        <v>634</v>
      </c>
      <c r="E33" s="1363"/>
      <c r="F33" s="1469">
        <v>176250000</v>
      </c>
      <c r="G33" s="1470">
        <f t="shared" si="0"/>
        <v>0.54954176872433813</v>
      </c>
      <c r="H33" s="1469">
        <v>342416000</v>
      </c>
      <c r="I33" s="1470">
        <f t="shared" si="1"/>
        <v>0.81787782962970934</v>
      </c>
      <c r="J33" s="1581">
        <f t="shared" si="2"/>
        <v>-166166000</v>
      </c>
      <c r="K33" s="1423">
        <f t="shared" si="3"/>
        <v>-48.52752207840755</v>
      </c>
      <c r="L33" s="1428"/>
    </row>
    <row r="34" spans="1:12" ht="15.95" customHeight="1" x14ac:dyDescent="0.3">
      <c r="A34" s="1430"/>
      <c r="B34" s="1426"/>
      <c r="C34" s="1436"/>
      <c r="D34" s="1449" t="s">
        <v>706</v>
      </c>
      <c r="E34" s="1449"/>
      <c r="F34" s="1339">
        <f>F35</f>
        <v>1307423494</v>
      </c>
      <c r="G34" s="1421">
        <f t="shared" si="0"/>
        <v>4.0765039396568179</v>
      </c>
      <c r="H34" s="1339">
        <f>H35</f>
        <v>1127200000</v>
      </c>
      <c r="I34" s="1421">
        <f t="shared" si="1"/>
        <v>2.6923738655863292</v>
      </c>
      <c r="J34" s="1577">
        <f t="shared" si="2"/>
        <v>180223494</v>
      </c>
      <c r="K34" s="1423">
        <f t="shared" si="3"/>
        <v>15.988599538679916</v>
      </c>
      <c r="L34" s="1428"/>
    </row>
    <row r="35" spans="1:12" ht="15.95" customHeight="1" x14ac:dyDescent="0.3">
      <c r="A35" s="1430"/>
      <c r="B35" s="1426"/>
      <c r="C35" s="1436"/>
      <c r="D35" s="1471"/>
      <c r="E35" s="1453" t="s">
        <v>681</v>
      </c>
      <c r="F35" s="1339">
        <v>1307423494</v>
      </c>
      <c r="G35" s="1421">
        <f t="shared" si="0"/>
        <v>4.0765039396568179</v>
      </c>
      <c r="H35" s="1339">
        <v>1127200000</v>
      </c>
      <c r="I35" s="1421">
        <f t="shared" si="1"/>
        <v>2.6923738655863292</v>
      </c>
      <c r="J35" s="1577">
        <f t="shared" si="2"/>
        <v>180223494</v>
      </c>
      <c r="K35" s="1423">
        <f t="shared" si="3"/>
        <v>15.988599538679916</v>
      </c>
      <c r="L35" s="1428"/>
    </row>
    <row r="36" spans="1:12" ht="15.95" customHeight="1" x14ac:dyDescent="0.3">
      <c r="A36" s="1430"/>
      <c r="B36" s="1426"/>
      <c r="C36" s="1436"/>
      <c r="D36" s="1449" t="s">
        <v>192</v>
      </c>
      <c r="E36" s="1449"/>
      <c r="F36" s="1339">
        <v>3127162000</v>
      </c>
      <c r="G36" s="1421">
        <f t="shared" si="0"/>
        <v>9.7503894273335536</v>
      </c>
      <c r="H36" s="1339">
        <v>3091800000</v>
      </c>
      <c r="I36" s="1421">
        <f t="shared" si="1"/>
        <v>7.3849197281935881</v>
      </c>
      <c r="J36" s="1577">
        <f t="shared" si="2"/>
        <v>35362000</v>
      </c>
      <c r="K36" s="1423">
        <f t="shared" si="3"/>
        <v>1.1437350410763956</v>
      </c>
      <c r="L36" s="1428"/>
    </row>
    <row r="37" spans="1:12" ht="15.95" customHeight="1" x14ac:dyDescent="0.3">
      <c r="A37" s="1430"/>
      <c r="B37" s="1426"/>
      <c r="C37" s="1436"/>
      <c r="D37" s="1449" t="s">
        <v>699</v>
      </c>
      <c r="E37" s="1449"/>
      <c r="F37" s="1339">
        <f>SUM(F38:F39)</f>
        <v>43140000</v>
      </c>
      <c r="G37" s="1421">
        <f t="shared" si="0"/>
        <v>0.13450911717882524</v>
      </c>
      <c r="H37" s="1339">
        <f>SUM(H38:H39)</f>
        <v>44630000</v>
      </c>
      <c r="I37" s="1421">
        <f t="shared" si="1"/>
        <v>0.10660099859928839</v>
      </c>
      <c r="J37" s="1577">
        <f t="shared" si="2"/>
        <v>-1490000</v>
      </c>
      <c r="K37" s="1423">
        <f t="shared" si="3"/>
        <v>-3.3385615057136455</v>
      </c>
      <c r="L37" s="1428"/>
    </row>
    <row r="38" spans="1:12" ht="15.95" customHeight="1" x14ac:dyDescent="0.3">
      <c r="A38" s="1430"/>
      <c r="B38" s="1426"/>
      <c r="C38" s="1436"/>
      <c r="D38" s="1362"/>
      <c r="E38" s="1363" t="s">
        <v>676</v>
      </c>
      <c r="F38" s="1339">
        <v>12240000</v>
      </c>
      <c r="G38" s="1421">
        <f t="shared" si="0"/>
        <v>3.8163921981196593E-2</v>
      </c>
      <c r="H38" s="1339">
        <v>12620000</v>
      </c>
      <c r="I38" s="1421">
        <f t="shared" si="1"/>
        <v>3.0143504421308975E-2</v>
      </c>
      <c r="J38" s="1577">
        <f t="shared" si="2"/>
        <v>-380000</v>
      </c>
      <c r="K38" s="1423">
        <f t="shared" si="3"/>
        <v>-3.0110935023771792</v>
      </c>
      <c r="L38" s="1428"/>
    </row>
    <row r="39" spans="1:12" ht="15.95" customHeight="1" x14ac:dyDescent="0.3">
      <c r="A39" s="1430"/>
      <c r="B39" s="1426"/>
      <c r="C39" s="1436"/>
      <c r="D39" s="1362"/>
      <c r="E39" s="1471" t="s">
        <v>691</v>
      </c>
      <c r="F39" s="1339">
        <v>30900000</v>
      </c>
      <c r="G39" s="1421">
        <f t="shared" si="0"/>
        <v>9.6345195197628644E-2</v>
      </c>
      <c r="H39" s="1339">
        <v>32010000</v>
      </c>
      <c r="I39" s="1421">
        <f t="shared" si="1"/>
        <v>7.6457494177979424E-2</v>
      </c>
      <c r="J39" s="1577">
        <f t="shared" si="2"/>
        <v>-1110000</v>
      </c>
      <c r="K39" s="1423">
        <f t="shared" si="3"/>
        <v>-3.4676663542642929</v>
      </c>
      <c r="L39" s="1428"/>
    </row>
    <row r="40" spans="1:12" ht="15.95" customHeight="1" x14ac:dyDescent="0.3">
      <c r="A40" s="1430"/>
      <c r="B40" s="1426"/>
      <c r="C40" s="1436"/>
      <c r="D40" s="1471" t="s">
        <v>190</v>
      </c>
      <c r="E40" s="1471"/>
      <c r="F40" s="1339">
        <v>1097405000</v>
      </c>
      <c r="G40" s="1421">
        <f t="shared" si="0"/>
        <v>3.4216731047201834</v>
      </c>
      <c r="H40" s="1339">
        <v>1176999500</v>
      </c>
      <c r="I40" s="1421">
        <f t="shared" si="1"/>
        <v>2.81132247481208</v>
      </c>
      <c r="J40" s="1577">
        <f t="shared" si="2"/>
        <v>-79594500</v>
      </c>
      <c r="K40" s="1423">
        <f t="shared" si="3"/>
        <v>-6.7624922525455613</v>
      </c>
      <c r="L40" s="1428"/>
    </row>
    <row r="41" spans="1:12" ht="15.95" customHeight="1" x14ac:dyDescent="0.3">
      <c r="A41" s="1430"/>
      <c r="B41" s="1426"/>
      <c r="C41" s="1436"/>
      <c r="D41" s="1449" t="s">
        <v>671</v>
      </c>
      <c r="E41" s="1449"/>
      <c r="F41" s="1339">
        <v>677656000</v>
      </c>
      <c r="G41" s="1421">
        <f t="shared" si="0"/>
        <v>2.1129093720661567</v>
      </c>
      <c r="H41" s="1339">
        <v>1058334000</v>
      </c>
      <c r="I41" s="1421">
        <f t="shared" si="1"/>
        <v>2.5278839626166096</v>
      </c>
      <c r="J41" s="1577">
        <f t="shared" si="2"/>
        <v>-380678000</v>
      </c>
      <c r="K41" s="1423">
        <f t="shared" si="3"/>
        <v>-35.969552145164002</v>
      </c>
      <c r="L41" s="1428"/>
    </row>
    <row r="42" spans="1:12" ht="15.95" customHeight="1" x14ac:dyDescent="0.3">
      <c r="A42" s="1430"/>
      <c r="B42" s="1426"/>
      <c r="C42" s="1472"/>
      <c r="D42" s="1449" t="s">
        <v>555</v>
      </c>
      <c r="E42" s="1449"/>
      <c r="F42" s="1473">
        <f>SUM(F43:F44)</f>
        <v>9680000</v>
      </c>
      <c r="G42" s="1421">
        <f t="shared" si="0"/>
        <v>3.0181925226959394E-2</v>
      </c>
      <c r="H42" s="1339">
        <f>SUM(H43:H44)</f>
        <v>0</v>
      </c>
      <c r="I42" s="1421">
        <f t="shared" si="1"/>
        <v>0</v>
      </c>
      <c r="J42" s="1577">
        <f t="shared" si="2"/>
        <v>9680000</v>
      </c>
      <c r="K42" s="1423"/>
      <c r="L42" s="1428"/>
    </row>
    <row r="43" spans="1:12" ht="15.95" customHeight="1" x14ac:dyDescent="0.3">
      <c r="A43" s="1430"/>
      <c r="B43" s="1426"/>
      <c r="C43" s="1472"/>
      <c r="D43" s="1362"/>
      <c r="E43" s="1363" t="s">
        <v>669</v>
      </c>
      <c r="F43" s="1473">
        <v>9680000</v>
      </c>
      <c r="G43" s="1421">
        <f t="shared" si="0"/>
        <v>3.0181925226959394E-2</v>
      </c>
      <c r="H43" s="1339">
        <v>0</v>
      </c>
      <c r="I43" s="1421">
        <f t="shared" si="1"/>
        <v>0</v>
      </c>
      <c r="J43" s="1577">
        <f t="shared" si="2"/>
        <v>9680000</v>
      </c>
      <c r="K43" s="1423"/>
      <c r="L43" s="1428"/>
    </row>
    <row r="44" spans="1:12" ht="15.95" hidden="1" customHeight="1" x14ac:dyDescent="0.3">
      <c r="A44" s="1430"/>
      <c r="B44" s="1426"/>
      <c r="C44" s="1472"/>
      <c r="D44" s="1362"/>
      <c r="E44" s="1471" t="s">
        <v>574</v>
      </c>
      <c r="F44" s="1473">
        <v>0</v>
      </c>
      <c r="G44" s="1421">
        <f t="shared" si="0"/>
        <v>0</v>
      </c>
      <c r="H44" s="1339">
        <v>0</v>
      </c>
      <c r="I44" s="1421">
        <f t="shared" si="1"/>
        <v>0</v>
      </c>
      <c r="J44" s="1577">
        <f t="shared" si="2"/>
        <v>0</v>
      </c>
      <c r="K44" s="1423" t="e">
        <f t="shared" si="3"/>
        <v>#DIV/0!</v>
      </c>
      <c r="L44" s="1428"/>
    </row>
    <row r="45" spans="1:12" ht="15.95" customHeight="1" x14ac:dyDescent="0.3">
      <c r="A45" s="1430"/>
      <c r="B45" s="1426"/>
      <c r="C45" s="1472"/>
      <c r="D45" s="1449" t="s">
        <v>179</v>
      </c>
      <c r="E45" s="1449"/>
      <c r="F45" s="1473">
        <f>F46</f>
        <v>129250000</v>
      </c>
      <c r="G45" s="1421">
        <f t="shared" si="0"/>
        <v>0.40299729706451465</v>
      </c>
      <c r="H45" s="1339">
        <f>H46</f>
        <v>90000000</v>
      </c>
      <c r="I45" s="1421">
        <f t="shared" si="1"/>
        <v>0.21496952439919234</v>
      </c>
      <c r="J45" s="1577">
        <f t="shared" si="2"/>
        <v>39250000</v>
      </c>
      <c r="K45" s="1423">
        <f t="shared" si="3"/>
        <v>43.611111111111114</v>
      </c>
      <c r="L45" s="1428"/>
    </row>
    <row r="46" spans="1:12" ht="15.95" customHeight="1" x14ac:dyDescent="0.3">
      <c r="A46" s="1430"/>
      <c r="B46" s="1426"/>
      <c r="C46" s="1472"/>
      <c r="D46" s="1362"/>
      <c r="E46" s="1362" t="s">
        <v>160</v>
      </c>
      <c r="F46" s="1473">
        <v>129250000</v>
      </c>
      <c r="G46" s="1421">
        <f t="shared" si="0"/>
        <v>0.40299729706451465</v>
      </c>
      <c r="H46" s="1339">
        <v>90000000</v>
      </c>
      <c r="I46" s="1421">
        <f t="shared" si="1"/>
        <v>0.21496952439919234</v>
      </c>
      <c r="J46" s="1577">
        <f t="shared" si="2"/>
        <v>39250000</v>
      </c>
      <c r="K46" s="1423">
        <f t="shared" si="3"/>
        <v>43.611111111111114</v>
      </c>
      <c r="L46" s="1428"/>
    </row>
    <row r="47" spans="1:12" s="1448" customFormat="1" ht="15.95" customHeight="1" x14ac:dyDescent="0.3">
      <c r="A47" s="1442"/>
      <c r="B47" s="1426"/>
      <c r="C47" s="1472"/>
      <c r="D47" s="1474" t="s">
        <v>703</v>
      </c>
      <c r="E47" s="1451"/>
      <c r="F47" s="1473">
        <f>SUM(F48)</f>
        <v>867800000</v>
      </c>
      <c r="G47" s="1421">
        <f t="shared" si="0"/>
        <v>2.7057721809871245</v>
      </c>
      <c r="H47" s="1339">
        <f>H48</f>
        <v>1041463160</v>
      </c>
      <c r="I47" s="1421">
        <f t="shared" si="1"/>
        <v>2.4875871131608887</v>
      </c>
      <c r="J47" s="1577">
        <f t="shared" si="2"/>
        <v>-173663160</v>
      </c>
      <c r="K47" s="1423">
        <f t="shared" si="3"/>
        <v>-16.674921079301548</v>
      </c>
      <c r="L47" s="1447"/>
    </row>
    <row r="48" spans="1:12" s="1458" customFormat="1" ht="15.95" customHeight="1" x14ac:dyDescent="0.3">
      <c r="A48" s="1455"/>
      <c r="B48" s="1426"/>
      <c r="C48" s="1472"/>
      <c r="D48" s="1449"/>
      <c r="E48" s="1449" t="s">
        <v>704</v>
      </c>
      <c r="F48" s="1473">
        <v>867800000</v>
      </c>
      <c r="G48" s="1421">
        <f t="shared" si="0"/>
        <v>2.7057721809871245</v>
      </c>
      <c r="H48" s="1339">
        <v>1041463160</v>
      </c>
      <c r="I48" s="1421">
        <f t="shared" si="1"/>
        <v>2.4875871131608887</v>
      </c>
      <c r="J48" s="1577">
        <f t="shared" si="2"/>
        <v>-173663160</v>
      </c>
      <c r="K48" s="1423">
        <f t="shared" si="3"/>
        <v>-16.674921079301548</v>
      </c>
      <c r="L48" s="1457"/>
    </row>
    <row r="49" spans="1:12" ht="15.95" customHeight="1" x14ac:dyDescent="0.3">
      <c r="A49" s="1430"/>
      <c r="B49" s="1426"/>
      <c r="C49" s="1472"/>
      <c r="D49" s="1449" t="s">
        <v>680</v>
      </c>
      <c r="E49" s="1449"/>
      <c r="F49" s="1473">
        <f>SUM(F50:F50)</f>
        <v>780000000</v>
      </c>
      <c r="G49" s="1421">
        <f t="shared" si="0"/>
        <v>2.4320146360566457</v>
      </c>
      <c r="H49" s="1339">
        <f>SUM(H50:H50)</f>
        <v>1273000000</v>
      </c>
      <c r="I49" s="1421">
        <f t="shared" si="1"/>
        <v>3.040624495113021</v>
      </c>
      <c r="J49" s="1577">
        <f t="shared" si="2"/>
        <v>-493000000</v>
      </c>
      <c r="K49" s="1423">
        <f t="shared" si="3"/>
        <v>-38.727415553809898</v>
      </c>
      <c r="L49" s="1428"/>
    </row>
    <row r="50" spans="1:12" ht="15.95" customHeight="1" x14ac:dyDescent="0.3">
      <c r="A50" s="1430"/>
      <c r="B50" s="1426"/>
      <c r="C50" s="1472"/>
      <c r="D50" s="1362"/>
      <c r="E50" s="1449" t="s">
        <v>688</v>
      </c>
      <c r="F50" s="1473">
        <v>780000000</v>
      </c>
      <c r="G50" s="1421">
        <f t="shared" si="0"/>
        <v>2.4320146360566457</v>
      </c>
      <c r="H50" s="1339">
        <v>1273000000</v>
      </c>
      <c r="I50" s="1421">
        <f t="shared" si="1"/>
        <v>3.040624495113021</v>
      </c>
      <c r="J50" s="1577">
        <f t="shared" si="2"/>
        <v>-493000000</v>
      </c>
      <c r="K50" s="1423">
        <f t="shared" si="3"/>
        <v>-38.727415553809898</v>
      </c>
      <c r="L50" s="1428"/>
    </row>
    <row r="51" spans="1:12" ht="15.95" customHeight="1" x14ac:dyDescent="0.3">
      <c r="A51" s="1430"/>
      <c r="B51" s="1475"/>
      <c r="C51" s="1472"/>
      <c r="D51" s="1449" t="s">
        <v>621</v>
      </c>
      <c r="E51" s="1449"/>
      <c r="F51" s="1473">
        <v>1798307000</v>
      </c>
      <c r="G51" s="1421">
        <f>F51/$F$5*100</f>
        <v>5.6070627488757925</v>
      </c>
      <c r="H51" s="1339">
        <v>1804896000</v>
      </c>
      <c r="I51" s="1421">
        <f>H51/$H$5*100</f>
        <v>4.3110848301111631</v>
      </c>
      <c r="J51" s="1577">
        <f>F51-H51</f>
        <v>-6589000</v>
      </c>
      <c r="K51" s="1423">
        <f t="shared" si="3"/>
        <v>-0.36506258532347569</v>
      </c>
      <c r="L51" s="1428"/>
    </row>
    <row r="52" spans="1:12" ht="15.95" customHeight="1" x14ac:dyDescent="0.3">
      <c r="B52" s="1476"/>
      <c r="C52" s="1412" t="s">
        <v>572</v>
      </c>
      <c r="D52" s="1477"/>
      <c r="E52" s="1478"/>
      <c r="F52" s="1333">
        <f>SUM(F53:F55)</f>
        <v>0</v>
      </c>
      <c r="G52" s="1408">
        <f t="shared" si="0"/>
        <v>0</v>
      </c>
      <c r="H52" s="1333">
        <f>SUM(H53:H55)</f>
        <v>7500000</v>
      </c>
      <c r="I52" s="1408">
        <f t="shared" si="1"/>
        <v>1.7914127033266031E-2</v>
      </c>
      <c r="J52" s="1582">
        <f t="shared" si="2"/>
        <v>-7500000</v>
      </c>
      <c r="K52" s="1409">
        <f t="shared" si="3"/>
        <v>-100</v>
      </c>
      <c r="L52" s="1418"/>
    </row>
    <row r="53" spans="1:12" ht="15.95" hidden="1" customHeight="1" x14ac:dyDescent="0.3">
      <c r="A53" s="1430"/>
      <c r="B53" s="1426"/>
      <c r="C53" s="1452"/>
      <c r="D53" s="1449" t="s">
        <v>144</v>
      </c>
      <c r="E53" s="1449"/>
      <c r="F53" s="1339">
        <v>0</v>
      </c>
      <c r="G53" s="1421">
        <f t="shared" si="0"/>
        <v>0</v>
      </c>
      <c r="H53" s="1339">
        <v>0</v>
      </c>
      <c r="I53" s="1421">
        <f t="shared" si="1"/>
        <v>0</v>
      </c>
      <c r="J53" s="1577">
        <f t="shared" si="2"/>
        <v>0</v>
      </c>
      <c r="K53" s="1423">
        <v>0</v>
      </c>
      <c r="L53" s="1428"/>
    </row>
    <row r="54" spans="1:12" ht="15.95" hidden="1" customHeight="1" x14ac:dyDescent="0.3">
      <c r="A54" s="1430"/>
      <c r="B54" s="1426"/>
      <c r="C54" s="1452"/>
      <c r="D54" s="1449" t="s">
        <v>476</v>
      </c>
      <c r="E54" s="1449"/>
      <c r="F54" s="1339">
        <v>0</v>
      </c>
      <c r="G54" s="1421">
        <f t="shared" si="0"/>
        <v>0</v>
      </c>
      <c r="H54" s="1339">
        <v>0</v>
      </c>
      <c r="I54" s="1421">
        <f t="shared" si="1"/>
        <v>0</v>
      </c>
      <c r="J54" s="1577">
        <f t="shared" si="2"/>
        <v>0</v>
      </c>
      <c r="K54" s="1423">
        <v>0</v>
      </c>
      <c r="L54" s="1428"/>
    </row>
    <row r="55" spans="1:12" ht="15.95" customHeight="1" x14ac:dyDescent="0.3">
      <c r="A55" s="1430"/>
      <c r="B55" s="1426"/>
      <c r="C55" s="1452"/>
      <c r="D55" s="1449" t="s">
        <v>318</v>
      </c>
      <c r="E55" s="1449"/>
      <c r="F55" s="1339">
        <f>SUM(F56:F57)</f>
        <v>0</v>
      </c>
      <c r="G55" s="1421">
        <f t="shared" si="0"/>
        <v>0</v>
      </c>
      <c r="H55" s="1339">
        <f>SUM(H56:H57)</f>
        <v>7500000</v>
      </c>
      <c r="I55" s="1421">
        <f t="shared" si="1"/>
        <v>1.7914127033266031E-2</v>
      </c>
      <c r="J55" s="1577">
        <f t="shared" si="2"/>
        <v>-7500000</v>
      </c>
      <c r="K55" s="1423">
        <f t="shared" si="3"/>
        <v>-100</v>
      </c>
      <c r="L55" s="1428"/>
    </row>
    <row r="56" spans="1:12" s="1479" customFormat="1" ht="15.95" customHeight="1" x14ac:dyDescent="0.3">
      <c r="B56" s="1480"/>
      <c r="C56" s="589"/>
      <c r="D56" s="1471"/>
      <c r="E56" s="1449" t="s">
        <v>606</v>
      </c>
      <c r="F56" s="1339">
        <v>0</v>
      </c>
      <c r="G56" s="1340">
        <f t="shared" si="0"/>
        <v>0</v>
      </c>
      <c r="H56" s="1339">
        <v>5500000</v>
      </c>
      <c r="I56" s="1340">
        <f t="shared" si="1"/>
        <v>1.3137026491061753E-2</v>
      </c>
      <c r="J56" s="1576">
        <f t="shared" si="2"/>
        <v>-5500000</v>
      </c>
      <c r="K56" s="1342">
        <f t="shared" si="3"/>
        <v>-100</v>
      </c>
      <c r="L56" s="1481"/>
    </row>
    <row r="57" spans="1:12" s="1479" customFormat="1" ht="15.95" customHeight="1" x14ac:dyDescent="0.3">
      <c r="B57" s="1480"/>
      <c r="C57" s="589"/>
      <c r="D57" s="1363"/>
      <c r="E57" s="1449" t="s">
        <v>554</v>
      </c>
      <c r="F57" s="1339">
        <v>0</v>
      </c>
      <c r="G57" s="1340">
        <f t="shared" si="0"/>
        <v>0</v>
      </c>
      <c r="H57" s="1339">
        <v>2000000</v>
      </c>
      <c r="I57" s="1340">
        <f t="shared" si="1"/>
        <v>4.7771005422042748E-3</v>
      </c>
      <c r="J57" s="1576">
        <f t="shared" si="2"/>
        <v>-2000000</v>
      </c>
      <c r="K57" s="1342">
        <f t="shared" si="3"/>
        <v>-100</v>
      </c>
      <c r="L57" s="1481"/>
    </row>
    <row r="58" spans="1:12" ht="15.95" hidden="1" customHeight="1" x14ac:dyDescent="0.3">
      <c r="A58" s="1430"/>
      <c r="B58" s="1426"/>
      <c r="C58" s="1452"/>
      <c r="D58" s="1471" t="s">
        <v>571</v>
      </c>
      <c r="E58" s="1471"/>
      <c r="F58" s="1339">
        <v>0</v>
      </c>
      <c r="G58" s="1421">
        <f t="shared" si="0"/>
        <v>0</v>
      </c>
      <c r="H58" s="1339">
        <v>0</v>
      </c>
      <c r="I58" s="1421">
        <f t="shared" si="1"/>
        <v>0</v>
      </c>
      <c r="J58" s="1577">
        <f t="shared" si="2"/>
        <v>0</v>
      </c>
      <c r="K58" s="1423" t="e">
        <f t="shared" si="3"/>
        <v>#DIV/0!</v>
      </c>
      <c r="L58" s="1428"/>
    </row>
    <row r="59" spans="1:12" ht="15.95" customHeight="1" x14ac:dyDescent="0.3">
      <c r="B59" s="1411" t="s">
        <v>546</v>
      </c>
      <c r="C59" s="1412"/>
      <c r="D59" s="1413"/>
      <c r="E59" s="1414"/>
      <c r="F59" s="1333">
        <f>F60+F68</f>
        <v>5646162000</v>
      </c>
      <c r="G59" s="1408">
        <f t="shared" si="0"/>
        <v>17.604549514803669</v>
      </c>
      <c r="H59" s="1333">
        <f>H60+H68</f>
        <v>11601550000</v>
      </c>
      <c r="I59" s="1408">
        <f t="shared" si="1"/>
        <v>27.710885397704999</v>
      </c>
      <c r="J59" s="1582">
        <f t="shared" si="2"/>
        <v>-5955388000</v>
      </c>
      <c r="K59" s="1409">
        <f t="shared" si="3"/>
        <v>-51.332692614348943</v>
      </c>
      <c r="L59" s="1418"/>
    </row>
    <row r="60" spans="1:12" ht="15.95" customHeight="1" x14ac:dyDescent="0.3">
      <c r="A60" s="1430"/>
      <c r="B60" s="1426"/>
      <c r="C60" s="1482" t="s">
        <v>542</v>
      </c>
      <c r="D60" s="1483"/>
      <c r="E60" s="1483"/>
      <c r="F60" s="1333">
        <f>F61+F66</f>
        <v>5488662000</v>
      </c>
      <c r="G60" s="1408">
        <f t="shared" si="0"/>
        <v>17.113469636369153</v>
      </c>
      <c r="H60" s="1333">
        <f>SUM(H61,H66)</f>
        <v>11502550000</v>
      </c>
      <c r="I60" s="1408">
        <f t="shared" si="1"/>
        <v>27.47441892086589</v>
      </c>
      <c r="J60" s="1582">
        <f t="shared" si="2"/>
        <v>-6013888000</v>
      </c>
      <c r="K60" s="1409">
        <f t="shared" si="3"/>
        <v>-52.283085055053014</v>
      </c>
      <c r="L60" s="1428"/>
    </row>
    <row r="61" spans="1:12" ht="15.95" customHeight="1" x14ac:dyDescent="0.3">
      <c r="A61" s="1430"/>
      <c r="B61" s="1484"/>
      <c r="C61" s="1452"/>
      <c r="D61" s="1449" t="s">
        <v>49</v>
      </c>
      <c r="E61" s="1449"/>
      <c r="F61" s="1339">
        <f>SUM(F62:F65)</f>
        <v>3129212000</v>
      </c>
      <c r="G61" s="1421">
        <f t="shared" ref="G61:G77" si="4">F61/$F$5*100</f>
        <v>9.7567812606719073</v>
      </c>
      <c r="H61" s="1339">
        <f>SUM(H62:H65)</f>
        <v>6105000000</v>
      </c>
      <c r="I61" s="1421">
        <f t="shared" ref="I61:I72" si="5">H61/$H$5*100</f>
        <v>14.58209940507855</v>
      </c>
      <c r="J61" s="1577">
        <f t="shared" ref="J61:J77" si="6">F61-H61</f>
        <v>-2975788000</v>
      </c>
      <c r="K61" s="1423">
        <f t="shared" ref="K61:K77" si="7">J61/H61*100</f>
        <v>-48.743456183456182</v>
      </c>
      <c r="L61" s="1428"/>
    </row>
    <row r="62" spans="1:12" ht="15.95" customHeight="1" x14ac:dyDescent="0.3">
      <c r="A62" s="1430"/>
      <c r="B62" s="1484"/>
      <c r="C62" s="1452"/>
      <c r="D62" s="1362"/>
      <c r="E62" s="1363" t="s">
        <v>154</v>
      </c>
      <c r="F62" s="1339">
        <v>3129212000</v>
      </c>
      <c r="G62" s="1421">
        <f t="shared" si="4"/>
        <v>9.7567812606719073</v>
      </c>
      <c r="H62" s="1339">
        <v>5400000000</v>
      </c>
      <c r="I62" s="1421">
        <f t="shared" si="5"/>
        <v>12.898171463951542</v>
      </c>
      <c r="J62" s="1577">
        <f t="shared" si="6"/>
        <v>-2270788000</v>
      </c>
      <c r="K62" s="1423">
        <f t="shared" si="7"/>
        <v>-42.05162962962963</v>
      </c>
      <c r="L62" s="1428"/>
    </row>
    <row r="63" spans="1:12" ht="15.95" customHeight="1" x14ac:dyDescent="0.3">
      <c r="A63" s="1430"/>
      <c r="B63" s="1484"/>
      <c r="C63" s="1452"/>
      <c r="D63" s="1362"/>
      <c r="E63" s="1471" t="s">
        <v>141</v>
      </c>
      <c r="F63" s="1572">
        <v>0</v>
      </c>
      <c r="G63" s="1573">
        <f t="shared" si="4"/>
        <v>0</v>
      </c>
      <c r="H63" s="1572">
        <v>685000000</v>
      </c>
      <c r="I63" s="1573">
        <f t="shared" si="5"/>
        <v>1.6361569357049639</v>
      </c>
      <c r="J63" s="1583">
        <f t="shared" si="6"/>
        <v>-685000000</v>
      </c>
      <c r="K63" s="1574">
        <f t="shared" si="7"/>
        <v>-100</v>
      </c>
      <c r="L63" s="1428"/>
    </row>
    <row r="64" spans="1:12" ht="15.95" hidden="1" customHeight="1" x14ac:dyDescent="0.3">
      <c r="A64" s="1430"/>
      <c r="B64" s="1484"/>
      <c r="C64" s="1452"/>
      <c r="D64" s="1362"/>
      <c r="E64" s="1449" t="s">
        <v>598</v>
      </c>
      <c r="F64" s="1339">
        <v>0</v>
      </c>
      <c r="G64" s="1445">
        <f t="shared" si="4"/>
        <v>0</v>
      </c>
      <c r="H64" s="1339">
        <v>0</v>
      </c>
      <c r="I64" s="1445">
        <f t="shared" si="5"/>
        <v>0</v>
      </c>
      <c r="J64" s="1578">
        <f t="shared" si="6"/>
        <v>0</v>
      </c>
      <c r="K64" s="1574" t="e">
        <f t="shared" si="7"/>
        <v>#DIV/0!</v>
      </c>
      <c r="L64" s="1428"/>
    </row>
    <row r="65" spans="1:12" s="1448" customFormat="1" ht="15.95" customHeight="1" x14ac:dyDescent="0.3">
      <c r="A65" s="1442"/>
      <c r="B65" s="1484"/>
      <c r="C65" s="1452"/>
      <c r="D65" s="1362"/>
      <c r="E65" s="1471" t="s">
        <v>602</v>
      </c>
      <c r="F65" s="1339">
        <v>0</v>
      </c>
      <c r="G65" s="1421">
        <f t="shared" si="4"/>
        <v>0</v>
      </c>
      <c r="H65" s="1339">
        <v>20000000</v>
      </c>
      <c r="I65" s="1421">
        <f t="shared" si="5"/>
        <v>4.7771005422042746E-2</v>
      </c>
      <c r="J65" s="1577">
        <f t="shared" si="6"/>
        <v>-20000000</v>
      </c>
      <c r="K65" s="1574">
        <f t="shared" si="7"/>
        <v>-100</v>
      </c>
      <c r="L65" s="1447"/>
    </row>
    <row r="66" spans="1:12" ht="15.95" customHeight="1" x14ac:dyDescent="0.3">
      <c r="A66" s="1430"/>
      <c r="B66" s="1487"/>
      <c r="C66" s="1362"/>
      <c r="D66" s="1449" t="s">
        <v>616</v>
      </c>
      <c r="E66" s="1449"/>
      <c r="F66" s="1339">
        <f>SUM(F67:F67)</f>
        <v>2359450000</v>
      </c>
      <c r="G66" s="1421">
        <f t="shared" si="4"/>
        <v>7.3566883756972459</v>
      </c>
      <c r="H66" s="1339">
        <f>SUM(H67:H67)</f>
        <v>5397550000</v>
      </c>
      <c r="I66" s="1421">
        <f t="shared" si="5"/>
        <v>12.89231951578734</v>
      </c>
      <c r="J66" s="1577">
        <f t="shared" si="6"/>
        <v>-3038100000</v>
      </c>
      <c r="K66" s="1423">
        <f t="shared" si="7"/>
        <v>-56.286648572037315</v>
      </c>
      <c r="L66" s="1428"/>
    </row>
    <row r="67" spans="1:12" ht="15.95" customHeight="1" x14ac:dyDescent="0.3">
      <c r="A67" s="1430"/>
      <c r="B67" s="1487"/>
      <c r="C67" s="1362"/>
      <c r="D67" s="1471"/>
      <c r="E67" s="1449" t="s">
        <v>649</v>
      </c>
      <c r="F67" s="1339">
        <v>2359450000</v>
      </c>
      <c r="G67" s="1445">
        <f t="shared" si="4"/>
        <v>7.3566883756972459</v>
      </c>
      <c r="H67" s="1339">
        <v>5397550000</v>
      </c>
      <c r="I67" s="1445">
        <f t="shared" si="5"/>
        <v>12.89231951578734</v>
      </c>
      <c r="J67" s="1578">
        <f t="shared" si="6"/>
        <v>-3038100000</v>
      </c>
      <c r="K67" s="1446">
        <f t="shared" si="7"/>
        <v>-56.286648572037315</v>
      </c>
      <c r="L67" s="1428"/>
    </row>
    <row r="68" spans="1:12" ht="15.95" customHeight="1" x14ac:dyDescent="0.3">
      <c r="A68" s="1430"/>
      <c r="B68" s="1426"/>
      <c r="C68" s="1488" t="s">
        <v>646</v>
      </c>
      <c r="D68" s="1489"/>
      <c r="E68" s="1489"/>
      <c r="F68" s="1333">
        <f>F69+F71+F73</f>
        <v>157500000</v>
      </c>
      <c r="G68" s="1408">
        <f t="shared" si="4"/>
        <v>0.49107987843451495</v>
      </c>
      <c r="H68" s="1333">
        <f>H69+H71+H73</f>
        <v>99000000</v>
      </c>
      <c r="I68" s="1408">
        <f t="shared" si="5"/>
        <v>0.23646647683911157</v>
      </c>
      <c r="J68" s="1582">
        <f t="shared" si="6"/>
        <v>58500000</v>
      </c>
      <c r="K68" s="1409">
        <f t="shared" si="7"/>
        <v>59.090909090909093</v>
      </c>
      <c r="L68" s="1428"/>
    </row>
    <row r="69" spans="1:12" ht="15.95" customHeight="1" x14ac:dyDescent="0.3">
      <c r="A69" s="1430"/>
      <c r="B69" s="1484"/>
      <c r="C69" s="1452"/>
      <c r="D69" s="1454" t="s">
        <v>694</v>
      </c>
      <c r="E69" s="1449"/>
      <c r="F69" s="1339">
        <f>F70</f>
        <v>95500000</v>
      </c>
      <c r="G69" s="1421">
        <f t="shared" si="4"/>
        <v>0.29776589454283287</v>
      </c>
      <c r="H69" s="1339">
        <f>H70</f>
        <v>99000000</v>
      </c>
      <c r="I69" s="1421">
        <f t="shared" si="5"/>
        <v>0.23646647683911157</v>
      </c>
      <c r="J69" s="1577">
        <f t="shared" si="6"/>
        <v>-3500000</v>
      </c>
      <c r="K69" s="1423">
        <f t="shared" si="7"/>
        <v>-3.535353535353535</v>
      </c>
      <c r="L69" s="1428"/>
    </row>
    <row r="70" spans="1:12" ht="15.95" customHeight="1" x14ac:dyDescent="0.3">
      <c r="A70" s="1430"/>
      <c r="B70" s="1484"/>
      <c r="C70" s="1452"/>
      <c r="D70" s="1452"/>
      <c r="E70" s="1362" t="s">
        <v>682</v>
      </c>
      <c r="F70" s="1339">
        <v>95500000</v>
      </c>
      <c r="G70" s="1421">
        <f t="shared" si="4"/>
        <v>0.29776589454283287</v>
      </c>
      <c r="H70" s="1339">
        <v>99000000</v>
      </c>
      <c r="I70" s="1421">
        <f t="shared" si="5"/>
        <v>0.23646647683911157</v>
      </c>
      <c r="J70" s="1577">
        <f t="shared" si="6"/>
        <v>-3500000</v>
      </c>
      <c r="K70" s="1423">
        <f t="shared" si="7"/>
        <v>-3.535353535353535</v>
      </c>
      <c r="L70" s="1428"/>
    </row>
    <row r="71" spans="1:12" ht="15.95" customHeight="1" x14ac:dyDescent="0.3">
      <c r="A71" s="1430"/>
      <c r="B71" s="1484"/>
      <c r="C71" s="1452"/>
      <c r="D71" s="1454" t="s">
        <v>689</v>
      </c>
      <c r="E71" s="1449"/>
      <c r="F71" s="1339">
        <f>F72</f>
        <v>60000000</v>
      </c>
      <c r="G71" s="1421">
        <f t="shared" si="4"/>
        <v>0.18707804892743427</v>
      </c>
      <c r="H71" s="1339">
        <f>H72</f>
        <v>0</v>
      </c>
      <c r="I71" s="1421">
        <f t="shared" si="5"/>
        <v>0</v>
      </c>
      <c r="J71" s="1577">
        <f t="shared" si="6"/>
        <v>60000000</v>
      </c>
      <c r="K71" s="1423"/>
      <c r="L71" s="1428"/>
    </row>
    <row r="72" spans="1:12" s="1491" customFormat="1" ht="15.95" customHeight="1" x14ac:dyDescent="0.3">
      <c r="A72" s="1490"/>
      <c r="B72" s="1484"/>
      <c r="C72" s="1452"/>
      <c r="D72" s="1452"/>
      <c r="E72" s="1471" t="s">
        <v>529</v>
      </c>
      <c r="F72" s="1339">
        <v>60000000</v>
      </c>
      <c r="G72" s="1421">
        <f t="shared" si="4"/>
        <v>0.18707804892743427</v>
      </c>
      <c r="H72" s="1339">
        <v>0</v>
      </c>
      <c r="I72" s="1421">
        <f t="shared" si="5"/>
        <v>0</v>
      </c>
      <c r="J72" s="1577">
        <f t="shared" si="6"/>
        <v>60000000</v>
      </c>
      <c r="K72" s="1423"/>
      <c r="L72" s="1428"/>
    </row>
    <row r="73" spans="1:12" s="1491" customFormat="1" ht="15.95" customHeight="1" x14ac:dyDescent="0.3">
      <c r="B73" s="1487"/>
      <c r="C73" s="589"/>
      <c r="D73" s="1454" t="s">
        <v>644</v>
      </c>
      <c r="E73" s="1449"/>
      <c r="F73" s="1339">
        <f>F74</f>
        <v>2000000</v>
      </c>
      <c r="G73" s="1421">
        <f t="shared" ref="G73:G74" si="8">F73/$F$5*100</f>
        <v>6.2359349642478086E-3</v>
      </c>
      <c r="H73" s="1339">
        <f>H74</f>
        <v>0</v>
      </c>
      <c r="I73" s="1421">
        <f t="shared" ref="I73:I74" si="9">H73/$H$5*100</f>
        <v>0</v>
      </c>
      <c r="J73" s="1577">
        <f t="shared" ref="J73:J74" si="10">F73-H73</f>
        <v>2000000</v>
      </c>
      <c r="K73" s="1423"/>
      <c r="L73" s="1575"/>
    </row>
    <row r="74" spans="1:12" s="1491" customFormat="1" ht="15.95" customHeight="1" x14ac:dyDescent="0.3">
      <c r="B74" s="1487"/>
      <c r="C74" s="589"/>
      <c r="D74" s="1452"/>
      <c r="E74" s="1471" t="s">
        <v>647</v>
      </c>
      <c r="F74" s="1339">
        <v>2000000</v>
      </c>
      <c r="G74" s="1421">
        <f t="shared" si="8"/>
        <v>6.2359349642478086E-3</v>
      </c>
      <c r="H74" s="1339">
        <v>0</v>
      </c>
      <c r="I74" s="1421">
        <f t="shared" si="9"/>
        <v>0</v>
      </c>
      <c r="J74" s="1422">
        <f t="shared" si="10"/>
        <v>2000000</v>
      </c>
      <c r="K74" s="1423"/>
      <c r="L74" s="1575"/>
    </row>
    <row r="75" spans="1:12" ht="15.95" customHeight="1" x14ac:dyDescent="0.3">
      <c r="B75" s="1411" t="s">
        <v>300</v>
      </c>
      <c r="C75" s="1412"/>
      <c r="D75" s="1413"/>
      <c r="E75" s="1414"/>
      <c r="F75" s="1333">
        <f>F76</f>
        <v>0</v>
      </c>
      <c r="G75" s="1408">
        <f t="shared" si="4"/>
        <v>0</v>
      </c>
      <c r="H75" s="1333">
        <f>H76</f>
        <v>404152000</v>
      </c>
      <c r="I75" s="1408">
        <f t="shared" ref="I75:I77" si="11">H75/$H$5*100</f>
        <v>0.96533736916647095</v>
      </c>
      <c r="J75" s="1407">
        <f t="shared" si="6"/>
        <v>-404152000</v>
      </c>
      <c r="K75" s="1409">
        <f t="shared" si="7"/>
        <v>-100</v>
      </c>
      <c r="L75" s="1418"/>
    </row>
    <row r="76" spans="1:12" ht="15.95" customHeight="1" x14ac:dyDescent="0.3">
      <c r="A76" s="1430"/>
      <c r="B76" s="1426"/>
      <c r="C76" s="1482" t="s">
        <v>271</v>
      </c>
      <c r="D76" s="1483"/>
      <c r="E76" s="1483"/>
      <c r="F76" s="1333">
        <f>F77</f>
        <v>0</v>
      </c>
      <c r="G76" s="1408">
        <f t="shared" si="4"/>
        <v>0</v>
      </c>
      <c r="H76" s="1333">
        <f>H77</f>
        <v>404152000</v>
      </c>
      <c r="I76" s="1408">
        <f t="shared" si="11"/>
        <v>0.96533736916647095</v>
      </c>
      <c r="J76" s="1407">
        <f t="shared" si="6"/>
        <v>-404152000</v>
      </c>
      <c r="K76" s="1409">
        <f t="shared" si="7"/>
        <v>-100</v>
      </c>
      <c r="L76" s="1428"/>
    </row>
    <row r="77" spans="1:12" ht="15.95" customHeight="1" x14ac:dyDescent="0.3">
      <c r="A77" s="1430"/>
      <c r="B77" s="1485"/>
      <c r="C77" s="1462"/>
      <c r="D77" s="1492" t="s">
        <v>271</v>
      </c>
      <c r="E77" s="1486"/>
      <c r="F77" s="1493">
        <v>0</v>
      </c>
      <c r="G77" s="1400">
        <f t="shared" si="4"/>
        <v>0</v>
      </c>
      <c r="H77" s="1396">
        <v>404152000</v>
      </c>
      <c r="I77" s="1400">
        <f t="shared" si="11"/>
        <v>0.96533736916647095</v>
      </c>
      <c r="J77" s="1401">
        <f t="shared" si="6"/>
        <v>-404152000</v>
      </c>
      <c r="K77" s="1402">
        <f t="shared" si="7"/>
        <v>-100</v>
      </c>
      <c r="L77" s="1428"/>
    </row>
    <row r="79" spans="1:12" x14ac:dyDescent="0.3">
      <c r="F79" s="1393"/>
    </row>
    <row r="80" spans="1:12" x14ac:dyDescent="0.3">
      <c r="F80" s="1393"/>
    </row>
    <row r="81" spans="6:6" x14ac:dyDescent="0.3">
      <c r="F81" s="1393"/>
    </row>
    <row r="82" spans="6:6" x14ac:dyDescent="0.3">
      <c r="F82" s="1393"/>
    </row>
    <row r="83" spans="6:6" x14ac:dyDescent="0.3">
      <c r="F83" s="1393"/>
    </row>
  </sheetData>
  <mergeCells count="8">
    <mergeCell ref="B5:E5"/>
    <mergeCell ref="K3:K4"/>
    <mergeCell ref="B3:E4"/>
    <mergeCell ref="F3:F4"/>
    <mergeCell ref="G3:G4"/>
    <mergeCell ref="H3:H4"/>
    <mergeCell ref="I3:I4"/>
    <mergeCell ref="J3:J4"/>
  </mergeCells>
  <phoneticPr fontId="53" type="noConversion"/>
  <printOptions horizontalCentered="1"/>
  <pageMargins left="0.27541667222976685" right="0.27541667222976685" top="0.74750000238418579" bottom="0.59041666984558105" header="0.43291667103767395" footer="0.31486111879348755"/>
  <pageSetup paperSize="9" fitToHeight="0" orientation="landscape" r:id="rId1"/>
  <rowBreaks count="1" manualBreakCount="1">
    <brk id="31" max="1048575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FFFFFF"/>
    <pageSetUpPr fitToPage="1"/>
  </sheetPr>
  <dimension ref="B16:S16"/>
  <sheetViews>
    <sheetView showGridLines="0" view="pageBreakPreview" topLeftCell="B1" zoomScale="75" zoomScaleNormal="100" zoomScaleSheetLayoutView="75" workbookViewId="0">
      <selection activeCell="L22" sqref="L22"/>
    </sheetView>
  </sheetViews>
  <sheetFormatPr defaultColWidth="9" defaultRowHeight="13.5" x14ac:dyDescent="0.3"/>
  <cols>
    <col min="1" max="1" width="0.125" style="1025" customWidth="1"/>
    <col min="2" max="2" width="8" style="1025" customWidth="1"/>
    <col min="3" max="3" width="6.75" style="1025" customWidth="1"/>
    <col min="4" max="4" width="6.25" style="1025" customWidth="1"/>
    <col min="5" max="5" width="12.75" style="1025" customWidth="1"/>
    <col min="6" max="6" width="11.5" style="1025" customWidth="1"/>
    <col min="7" max="7" width="13" style="1025" bestFit="1" customWidth="1"/>
    <col min="8" max="8" width="10.75" style="1025" customWidth="1"/>
    <col min="9" max="9" width="2.25" style="1025" customWidth="1"/>
    <col min="10" max="10" width="10.75" style="1025" customWidth="1"/>
    <col min="11" max="11" width="8.25" style="1025" customWidth="1"/>
    <col min="12" max="12" width="2.125" style="1025" customWidth="1"/>
    <col min="13" max="13" width="5.25" style="1025" customWidth="1"/>
    <col min="14" max="14" width="2" style="1025" customWidth="1"/>
    <col min="15" max="15" width="4.5" style="1025" customWidth="1"/>
    <col min="16" max="16" width="2.75" style="1025" customWidth="1"/>
    <col min="17" max="17" width="10.75" style="1025" customWidth="1"/>
    <col min="18" max="18" width="11.5" style="1025" customWidth="1"/>
    <col min="19" max="19" width="0.75" style="1025" customWidth="1"/>
    <col min="20" max="22" width="8.75" style="1025" customWidth="1"/>
    <col min="23" max="16384" width="9" style="1025"/>
  </cols>
  <sheetData>
    <row r="16" spans="2:19" ht="33.75" x14ac:dyDescent="0.3">
      <c r="B16" s="1872" t="s">
        <v>346</v>
      </c>
      <c r="C16" s="1872"/>
      <c r="D16" s="1872"/>
      <c r="E16" s="1872"/>
      <c r="F16" s="1872"/>
      <c r="G16" s="1872"/>
      <c r="H16" s="1872"/>
      <c r="I16" s="1872"/>
      <c r="J16" s="1872"/>
      <c r="K16" s="1872"/>
      <c r="L16" s="1872"/>
      <c r="M16" s="1872"/>
      <c r="N16" s="1872"/>
      <c r="O16" s="1872"/>
      <c r="P16" s="1872"/>
      <c r="Q16" s="1872"/>
      <c r="R16" s="1872"/>
      <c r="S16" s="1872"/>
    </row>
  </sheetData>
  <mergeCells count="1">
    <mergeCell ref="B16:S16"/>
  </mergeCells>
  <phoneticPr fontId="53" type="noConversion"/>
  <pageMargins left="0.27541667222976685" right="0.27541667222976685" top="0.74750000238418579" bottom="0.59041666984558105" header="0.43291667103767395" footer="0.31486111879348755"/>
  <pageSetup paperSize="9" fitToHeight="0" orientation="landscape" r:id="rId1"/>
  <headerFooter>
    <oddFooter>&amp;C&amp;"맑은 고딕,Regular"페이지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FF0000"/>
  </sheetPr>
  <dimension ref="A1:Y121"/>
  <sheetViews>
    <sheetView view="pageBreakPreview" zoomScale="120" zoomScaleNormal="100" zoomScaleSheetLayoutView="120" workbookViewId="0">
      <pane xSplit="6" ySplit="5" topLeftCell="G6" activePane="bottomRight" state="frozen"/>
      <selection pane="topRight"/>
      <selection pane="bottomLeft"/>
      <selection pane="bottomRight" activeCell="G5" sqref="G5"/>
    </sheetView>
  </sheetViews>
  <sheetFormatPr defaultColWidth="9" defaultRowHeight="16.5" customHeight="1" x14ac:dyDescent="0.3"/>
  <cols>
    <col min="1" max="1" width="2.25" style="5" customWidth="1"/>
    <col min="2" max="2" width="2.125" style="5" customWidth="1"/>
    <col min="3" max="4" width="2.5" style="5" customWidth="1"/>
    <col min="5" max="5" width="4.125" style="5" customWidth="1"/>
    <col min="6" max="6" width="14.125" style="5" customWidth="1"/>
    <col min="7" max="7" width="14.25" style="11" bestFit="1" customWidth="1"/>
    <col min="8" max="8" width="14.25" style="219" bestFit="1" customWidth="1"/>
    <col min="9" max="9" width="11.625" style="11" customWidth="1"/>
    <col min="10" max="10" width="2" style="5" customWidth="1"/>
    <col min="11" max="11" width="3.875" style="5" customWidth="1"/>
    <col min="12" max="12" width="5.625" style="4" customWidth="1"/>
    <col min="13" max="13" width="13.625" style="10" customWidth="1"/>
    <col min="14" max="14" width="5.25" style="10" customWidth="1"/>
    <col min="15" max="15" width="5.375" style="10" customWidth="1"/>
    <col min="16" max="16" width="13.375" style="10" customWidth="1"/>
    <col min="17" max="17" width="2.75" style="10" customWidth="1"/>
    <col min="18" max="18" width="12.75" style="10" bestFit="1" customWidth="1"/>
    <col min="19" max="19" width="12.625" style="10" customWidth="1"/>
    <col min="20" max="20" width="0.875" style="5" customWidth="1"/>
    <col min="21" max="21" width="9" style="5"/>
    <col min="22" max="22" width="14.75" style="5" bestFit="1" customWidth="1"/>
    <col min="23" max="23" width="16.125" style="5" bestFit="1" customWidth="1"/>
    <col min="24" max="24" width="13.125" style="5" bestFit="1" customWidth="1"/>
    <col min="25" max="16384" width="9" style="5"/>
  </cols>
  <sheetData>
    <row r="1" spans="1:25" ht="19.7" customHeight="1" x14ac:dyDescent="0.3">
      <c r="B1" s="1993" t="s">
        <v>575</v>
      </c>
      <c r="C1" s="1993"/>
      <c r="D1" s="1993"/>
      <c r="E1" s="1993"/>
      <c r="F1" s="1993"/>
      <c r="G1" s="1993"/>
      <c r="H1" s="1993"/>
      <c r="I1" s="1993"/>
      <c r="J1" s="1993"/>
      <c r="K1" s="1993"/>
      <c r="L1" s="1993"/>
      <c r="M1" s="1993"/>
      <c r="N1" s="1993"/>
      <c r="O1" s="1993"/>
      <c r="P1" s="1993"/>
      <c r="Q1" s="1993"/>
      <c r="R1" s="1993"/>
      <c r="S1" s="1993"/>
      <c r="T1" s="1993"/>
    </row>
    <row r="2" spans="1:25" x14ac:dyDescent="0.3">
      <c r="B2" s="18"/>
      <c r="C2" s="13"/>
      <c r="D2" s="13"/>
      <c r="E2" s="13"/>
      <c r="F2" s="13"/>
      <c r="G2" s="17"/>
      <c r="H2" s="217"/>
      <c r="I2" s="16" t="s">
        <v>639</v>
      </c>
      <c r="J2" s="13"/>
      <c r="K2" s="13"/>
      <c r="L2" s="15"/>
      <c r="M2" s="14"/>
      <c r="N2" s="14"/>
      <c r="O2" s="14"/>
      <c r="P2" s="14"/>
      <c r="Q2" s="14"/>
      <c r="R2" s="14"/>
      <c r="S2" s="14" t="s">
        <v>785</v>
      </c>
      <c r="T2" s="13"/>
    </row>
    <row r="3" spans="1:25" ht="18" customHeight="1" x14ac:dyDescent="0.3">
      <c r="B3" s="1994" t="s">
        <v>415</v>
      </c>
      <c r="C3" s="1995"/>
      <c r="D3" s="1995"/>
      <c r="E3" s="1995"/>
      <c r="F3" s="1996"/>
      <c r="G3" s="12" t="s">
        <v>74</v>
      </c>
      <c r="H3" s="538" t="s">
        <v>618</v>
      </c>
      <c r="I3" s="12" t="s">
        <v>225</v>
      </c>
      <c r="J3" s="1997" t="s">
        <v>423</v>
      </c>
      <c r="K3" s="1998"/>
      <c r="L3" s="1998"/>
      <c r="M3" s="1998"/>
      <c r="N3" s="1998"/>
      <c r="O3" s="1998"/>
      <c r="P3" s="1998"/>
      <c r="Q3" s="1998"/>
      <c r="R3" s="1998"/>
      <c r="S3" s="1998"/>
      <c r="T3" s="1999"/>
    </row>
    <row r="4" spans="1:25" ht="21.75" customHeight="1" x14ac:dyDescent="0.3">
      <c r="B4" s="57" t="s">
        <v>128</v>
      </c>
      <c r="C4" s="58" t="s">
        <v>73</v>
      </c>
      <c r="D4" s="58" t="s">
        <v>123</v>
      </c>
      <c r="E4" s="58" t="s">
        <v>57</v>
      </c>
      <c r="F4" s="58" t="s">
        <v>70</v>
      </c>
      <c r="G4" s="59" t="s">
        <v>109</v>
      </c>
      <c r="H4" s="218" t="s">
        <v>63</v>
      </c>
      <c r="I4" s="59" t="s">
        <v>344</v>
      </c>
      <c r="J4" s="2000"/>
      <c r="K4" s="2001"/>
      <c r="L4" s="2001"/>
      <c r="M4" s="2001"/>
      <c r="N4" s="2001"/>
      <c r="O4" s="2001"/>
      <c r="P4" s="2001"/>
      <c r="Q4" s="2001"/>
      <c r="R4" s="2001"/>
      <c r="S4" s="2001"/>
      <c r="T4" s="2002"/>
    </row>
    <row r="5" spans="1:25" ht="19.5" customHeight="1" x14ac:dyDescent="0.3">
      <c r="B5" s="2003" t="s">
        <v>543</v>
      </c>
      <c r="C5" s="2004"/>
      <c r="D5" s="2004"/>
      <c r="E5" s="2004"/>
      <c r="F5" s="2005"/>
      <c r="G5" s="1571">
        <f>G6</f>
        <v>5340000000</v>
      </c>
      <c r="H5" s="1571">
        <f t="shared" ref="H5:I5" si="0">H6</f>
        <v>5295574000</v>
      </c>
      <c r="I5" s="1571">
        <f t="shared" si="0"/>
        <v>44426000</v>
      </c>
      <c r="J5" s="226"/>
      <c r="K5" s="226"/>
      <c r="L5" s="54"/>
      <c r="M5" s="55"/>
      <c r="N5" s="55"/>
      <c r="O5" s="55"/>
      <c r="P5" s="55"/>
      <c r="Q5" s="55"/>
      <c r="R5" s="55"/>
      <c r="S5" s="55"/>
      <c r="T5" s="56"/>
    </row>
    <row r="6" spans="1:25" s="145" customFormat="1" ht="15.95" customHeight="1" x14ac:dyDescent="0.3">
      <c r="A6" s="143"/>
      <c r="B6" s="2007" t="s">
        <v>626</v>
      </c>
      <c r="C6" s="2008"/>
      <c r="D6" s="2008"/>
      <c r="E6" s="2008"/>
      <c r="F6" s="2009"/>
      <c r="G6" s="162">
        <f>G7+G104</f>
        <v>5340000000</v>
      </c>
      <c r="H6" s="162">
        <f t="shared" ref="H6:I6" si="1">H7+H104</f>
        <v>5295574000</v>
      </c>
      <c r="I6" s="162">
        <f t="shared" si="1"/>
        <v>44426000</v>
      </c>
      <c r="J6" s="163"/>
      <c r="K6" s="163"/>
      <c r="L6" s="163"/>
      <c r="M6" s="163"/>
      <c r="N6" s="163"/>
      <c r="O6" s="163"/>
      <c r="P6" s="164"/>
      <c r="Q6" s="163"/>
      <c r="R6" s="165"/>
      <c r="S6" s="165"/>
      <c r="T6" s="144"/>
    </row>
    <row r="7" spans="1:25" s="145" customFormat="1" ht="15.95" customHeight="1" x14ac:dyDescent="0.3">
      <c r="A7" s="143"/>
      <c r="B7" s="166"/>
      <c r="C7" s="167" t="s">
        <v>642</v>
      </c>
      <c r="D7" s="168"/>
      <c r="E7" s="169"/>
      <c r="F7" s="170"/>
      <c r="G7" s="171">
        <f>G8+G97</f>
        <v>1340000000</v>
      </c>
      <c r="H7" s="171">
        <f>H8+H97</f>
        <v>1885574000</v>
      </c>
      <c r="I7" s="171">
        <f>I8+I97</f>
        <v>-545574000</v>
      </c>
      <c r="J7" s="73"/>
      <c r="K7" s="73"/>
      <c r="L7" s="73"/>
      <c r="M7" s="73"/>
      <c r="N7" s="73"/>
      <c r="O7" s="73"/>
      <c r="P7" s="172"/>
      <c r="Q7" s="73"/>
      <c r="R7" s="173"/>
      <c r="S7" s="174"/>
      <c r="T7" s="146"/>
    </row>
    <row r="8" spans="1:25" s="145" customFormat="1" ht="15.95" customHeight="1" x14ac:dyDescent="0.3">
      <c r="A8" s="143"/>
      <c r="B8" s="48"/>
      <c r="C8" s="175"/>
      <c r="D8" s="53" t="s">
        <v>539</v>
      </c>
      <c r="E8" s="176"/>
      <c r="F8" s="177"/>
      <c r="G8" s="49">
        <f>G9+G21+G85+G90+G94</f>
        <v>1340000000</v>
      </c>
      <c r="H8" s="49">
        <f t="shared" ref="H8:I8" si="2">H9+H21+H85+H90+H94</f>
        <v>1885574000</v>
      </c>
      <c r="I8" s="49">
        <f t="shared" si="2"/>
        <v>-545574000</v>
      </c>
      <c r="J8" s="46"/>
      <c r="K8" s="46"/>
      <c r="L8" s="46"/>
      <c r="M8" s="46"/>
      <c r="N8" s="46"/>
      <c r="O8" s="46"/>
      <c r="P8" s="50"/>
      <c r="Q8" s="46"/>
      <c r="R8" s="51"/>
      <c r="S8" s="52"/>
      <c r="T8" s="147"/>
    </row>
    <row r="9" spans="1:25" s="145" customFormat="1" ht="16.5" customHeight="1" x14ac:dyDescent="0.3">
      <c r="A9" s="143"/>
      <c r="B9" s="48"/>
      <c r="C9" s="60"/>
      <c r="D9" s="42"/>
      <c r="E9" s="178" t="s">
        <v>640</v>
      </c>
      <c r="F9" s="179"/>
      <c r="G9" s="62">
        <f>G10</f>
        <v>940000000</v>
      </c>
      <c r="H9" s="62">
        <f t="shared" ref="H9:I9" si="3">H10</f>
        <v>1050000000</v>
      </c>
      <c r="I9" s="62">
        <f t="shared" si="3"/>
        <v>-110000000</v>
      </c>
      <c r="J9" s="63"/>
      <c r="K9" s="63"/>
      <c r="L9" s="63"/>
      <c r="M9" s="63"/>
      <c r="N9" s="63"/>
      <c r="O9" s="63"/>
      <c r="P9" s="180"/>
      <c r="Q9" s="63"/>
      <c r="R9" s="64"/>
      <c r="S9" s="181"/>
      <c r="T9" s="148"/>
    </row>
    <row r="10" spans="1:25" s="40" customFormat="1" ht="15" customHeight="1" x14ac:dyDescent="0.3">
      <c r="A10" s="451"/>
      <c r="B10" s="48"/>
      <c r="C10" s="60"/>
      <c r="D10" s="42"/>
      <c r="E10" s="182"/>
      <c r="F10" s="1620" t="s">
        <v>248</v>
      </c>
      <c r="G10" s="183">
        <f>S10</f>
        <v>940000000</v>
      </c>
      <c r="H10" s="183">
        <v>1050000000</v>
      </c>
      <c r="I10" s="452">
        <f>G10-H10</f>
        <v>-110000000</v>
      </c>
      <c r="J10" s="193" t="s">
        <v>125</v>
      </c>
      <c r="K10" s="187" t="s">
        <v>244</v>
      </c>
      <c r="L10" s="184"/>
      <c r="M10" s="184"/>
      <c r="N10" s="184"/>
      <c r="O10" s="184"/>
      <c r="P10" s="185"/>
      <c r="Q10" s="184"/>
      <c r="R10" s="185"/>
      <c r="S10" s="186">
        <f>SUM(S11:S20)</f>
        <v>940000000</v>
      </c>
      <c r="T10" s="357"/>
      <c r="X10" s="453"/>
      <c r="Y10" s="453"/>
    </row>
    <row r="11" spans="1:25" s="392" customFormat="1" ht="15" customHeight="1" x14ac:dyDescent="0.3">
      <c r="B11" s="188"/>
      <c r="C11" s="189"/>
      <c r="D11" s="190"/>
      <c r="E11" s="190"/>
      <c r="F11" s="1621"/>
      <c r="G11" s="192"/>
      <c r="H11" s="192"/>
      <c r="I11" s="192"/>
      <c r="J11" s="606" t="s">
        <v>66</v>
      </c>
      <c r="K11" s="607" t="s">
        <v>614</v>
      </c>
      <c r="L11" s="608"/>
      <c r="M11" s="608"/>
      <c r="N11" s="608"/>
      <c r="O11" s="608"/>
      <c r="P11" s="609"/>
      <c r="Q11" s="608"/>
      <c r="R11" s="609"/>
      <c r="S11" s="616">
        <f>SUM(R12:R13)</f>
        <v>350000000</v>
      </c>
      <c r="T11" s="359"/>
    </row>
    <row r="12" spans="1:25" s="40" customFormat="1" ht="16.5" customHeight="1" x14ac:dyDescent="0.3">
      <c r="A12" s="451"/>
      <c r="B12" s="48"/>
      <c r="C12" s="60"/>
      <c r="D12" s="42"/>
      <c r="E12" s="42"/>
      <c r="F12" s="205"/>
      <c r="G12" s="43"/>
      <c r="H12" s="43"/>
      <c r="I12" s="43"/>
      <c r="J12" s="608"/>
      <c r="K12" s="607" t="s">
        <v>279</v>
      </c>
      <c r="L12" s="608"/>
      <c r="M12" s="608"/>
      <c r="N12" s="608"/>
      <c r="O12" s="608"/>
      <c r="P12" s="609"/>
      <c r="Q12" s="608"/>
      <c r="R12" s="626"/>
      <c r="S12" s="616"/>
      <c r="T12" s="358"/>
    </row>
    <row r="13" spans="1:25" s="40" customFormat="1" ht="16.5" customHeight="1" x14ac:dyDescent="0.3">
      <c r="A13" s="451"/>
      <c r="B13" s="48"/>
      <c r="C13" s="60"/>
      <c r="D13" s="42"/>
      <c r="E13" s="42"/>
      <c r="F13" s="205"/>
      <c r="G13" s="43"/>
      <c r="H13" s="43"/>
      <c r="I13" s="43"/>
      <c r="J13" s="608"/>
      <c r="K13" s="613" t="s">
        <v>517</v>
      </c>
      <c r="L13" s="613"/>
      <c r="M13" s="613"/>
      <c r="N13" s="613"/>
      <c r="O13" s="613"/>
      <c r="P13" s="614"/>
      <c r="Q13" s="615" t="s">
        <v>98</v>
      </c>
      <c r="R13" s="614">
        <v>350000000</v>
      </c>
      <c r="S13" s="627"/>
      <c r="T13" s="358"/>
    </row>
    <row r="14" spans="1:25" s="40" customFormat="1" ht="16.5" customHeight="1" x14ac:dyDescent="0.3">
      <c r="A14" s="451"/>
      <c r="B14" s="48"/>
      <c r="C14" s="60"/>
      <c r="D14" s="42"/>
      <c r="E14" s="42"/>
      <c r="F14" s="205"/>
      <c r="G14" s="43"/>
      <c r="H14" s="43"/>
      <c r="I14" s="43"/>
      <c r="J14" s="606" t="s">
        <v>66</v>
      </c>
      <c r="K14" s="607" t="s">
        <v>266</v>
      </c>
      <c r="L14" s="608"/>
      <c r="M14" s="608"/>
      <c r="N14" s="608"/>
      <c r="O14" s="608"/>
      <c r="P14" s="609"/>
      <c r="Q14" s="608"/>
      <c r="R14" s="609"/>
      <c r="S14" s="609">
        <f>SUM(R15:R18)</f>
        <v>540000000</v>
      </c>
      <c r="T14" s="358"/>
    </row>
    <row r="15" spans="1:25" s="39" customFormat="1" ht="16.5" customHeight="1" x14ac:dyDescent="0.3">
      <c r="A15" s="139"/>
      <c r="B15" s="459"/>
      <c r="C15" s="460"/>
      <c r="D15" s="461"/>
      <c r="E15" s="461"/>
      <c r="F15" s="1622"/>
      <c r="G15" s="462"/>
      <c r="H15" s="462"/>
      <c r="I15" s="462"/>
      <c r="J15" s="619"/>
      <c r="K15" s="625" t="s">
        <v>279</v>
      </c>
      <c r="L15" s="619"/>
      <c r="M15" s="619"/>
      <c r="N15" s="619"/>
      <c r="O15" s="619"/>
      <c r="P15" s="622"/>
      <c r="Q15" s="619"/>
      <c r="R15" s="628"/>
      <c r="S15" s="622"/>
      <c r="T15" s="463"/>
    </row>
    <row r="16" spans="1:25" s="39" customFormat="1" ht="16.5" customHeight="1" x14ac:dyDescent="0.3">
      <c r="A16" s="139"/>
      <c r="B16" s="459"/>
      <c r="C16" s="460"/>
      <c r="D16" s="461"/>
      <c r="E16" s="461"/>
      <c r="F16" s="1622"/>
      <c r="G16" s="462"/>
      <c r="H16" s="462"/>
      <c r="I16" s="462"/>
      <c r="J16" s="619"/>
      <c r="K16" s="608" t="s">
        <v>168</v>
      </c>
      <c r="L16" s="608"/>
      <c r="M16" s="608"/>
      <c r="N16" s="608"/>
      <c r="O16" s="608"/>
      <c r="P16" s="609"/>
      <c r="Q16" s="630" t="s">
        <v>98</v>
      </c>
      <c r="R16" s="609">
        <v>240000000</v>
      </c>
      <c r="S16" s="622"/>
      <c r="T16" s="463"/>
    </row>
    <row r="17" spans="1:21" s="39" customFormat="1" ht="16.5" customHeight="1" x14ac:dyDescent="0.3">
      <c r="A17" s="139"/>
      <c r="B17" s="459"/>
      <c r="C17" s="460"/>
      <c r="D17" s="461"/>
      <c r="E17" s="461"/>
      <c r="F17" s="1622"/>
      <c r="G17" s="462"/>
      <c r="H17" s="462"/>
      <c r="I17" s="462"/>
      <c r="J17" s="619"/>
      <c r="K17" s="608" t="s">
        <v>577</v>
      </c>
      <c r="L17" s="608"/>
      <c r="M17" s="608"/>
      <c r="N17" s="608"/>
      <c r="O17" s="608"/>
      <c r="P17" s="609"/>
      <c r="Q17" s="630" t="s">
        <v>98</v>
      </c>
      <c r="R17" s="609">
        <v>150000000</v>
      </c>
      <c r="S17" s="622"/>
      <c r="T17" s="463"/>
    </row>
    <row r="18" spans="1:21" s="39" customFormat="1" ht="16.5" customHeight="1" x14ac:dyDescent="0.3">
      <c r="A18" s="139"/>
      <c r="B18" s="459"/>
      <c r="C18" s="460"/>
      <c r="D18" s="461"/>
      <c r="E18" s="461"/>
      <c r="F18" s="1622"/>
      <c r="G18" s="462"/>
      <c r="H18" s="462"/>
      <c r="I18" s="462"/>
      <c r="J18" s="619"/>
      <c r="K18" s="619" t="s">
        <v>42</v>
      </c>
      <c r="L18" s="619"/>
      <c r="M18" s="619"/>
      <c r="N18" s="619"/>
      <c r="O18" s="619"/>
      <c r="P18" s="622"/>
      <c r="Q18" s="620" t="s">
        <v>98</v>
      </c>
      <c r="R18" s="622">
        <v>150000000</v>
      </c>
      <c r="S18" s="622"/>
      <c r="T18" s="463"/>
    </row>
    <row r="19" spans="1:21" s="40" customFormat="1" ht="16.5" customHeight="1" x14ac:dyDescent="0.3">
      <c r="A19" s="451"/>
      <c r="B19" s="48"/>
      <c r="C19" s="60"/>
      <c r="D19" s="42"/>
      <c r="E19" s="42"/>
      <c r="F19" s="205"/>
      <c r="G19" s="43"/>
      <c r="H19" s="43"/>
      <c r="I19" s="43"/>
      <c r="J19" s="606" t="s">
        <v>66</v>
      </c>
      <c r="K19" s="607" t="s">
        <v>207</v>
      </c>
      <c r="L19" s="608"/>
      <c r="M19" s="608"/>
      <c r="N19" s="613"/>
      <c r="O19" s="613"/>
      <c r="P19" s="614"/>
      <c r="Q19" s="615"/>
      <c r="R19" s="614"/>
      <c r="S19" s="616">
        <f>SUM(R20:R20)</f>
        <v>50000000</v>
      </c>
      <c r="T19" s="358"/>
    </row>
    <row r="20" spans="1:21" s="40" customFormat="1" ht="16.5" customHeight="1" x14ac:dyDescent="0.3">
      <c r="A20" s="451"/>
      <c r="B20" s="48"/>
      <c r="C20" s="60"/>
      <c r="D20" s="42"/>
      <c r="E20" s="42"/>
      <c r="F20" s="205"/>
      <c r="G20" s="43"/>
      <c r="H20" s="43"/>
      <c r="I20" s="43"/>
      <c r="J20" s="618"/>
      <c r="K20" s="619" t="s">
        <v>509</v>
      </c>
      <c r="L20" s="619"/>
      <c r="M20" s="619"/>
      <c r="N20" s="619"/>
      <c r="O20" s="619"/>
      <c r="P20" s="622"/>
      <c r="Q20" s="620" t="s">
        <v>98</v>
      </c>
      <c r="R20" s="622">
        <v>50000000</v>
      </c>
      <c r="S20" s="622"/>
      <c r="T20" s="358"/>
    </row>
    <row r="21" spans="1:21" s="145" customFormat="1" ht="15.95" customHeight="1" x14ac:dyDescent="0.3">
      <c r="A21" s="143"/>
      <c r="B21" s="48"/>
      <c r="C21" s="60"/>
      <c r="D21" s="42"/>
      <c r="E21" s="53" t="s">
        <v>537</v>
      </c>
      <c r="F21" s="176"/>
      <c r="G21" s="49">
        <f>G22+G79</f>
        <v>300000000</v>
      </c>
      <c r="H21" s="49">
        <f t="shared" ref="H21:I21" si="4">H22+H79</f>
        <v>735574000</v>
      </c>
      <c r="I21" s="49">
        <f t="shared" si="4"/>
        <v>-435574000</v>
      </c>
      <c r="J21" s="631"/>
      <c r="K21" s="631"/>
      <c r="L21" s="631"/>
      <c r="M21" s="631"/>
      <c r="N21" s="631"/>
      <c r="O21" s="631"/>
      <c r="P21" s="632"/>
      <c r="Q21" s="631"/>
      <c r="R21" s="633"/>
      <c r="S21" s="634"/>
      <c r="T21" s="155"/>
    </row>
    <row r="22" spans="1:21" s="145" customFormat="1" ht="15.95" customHeight="1" x14ac:dyDescent="0.3">
      <c r="A22" s="143"/>
      <c r="B22" s="48"/>
      <c r="C22" s="60"/>
      <c r="D22" s="42"/>
      <c r="E22" s="42"/>
      <c r="F22" s="205" t="s">
        <v>262</v>
      </c>
      <c r="G22" s="183">
        <f>S22</f>
        <v>265000000</v>
      </c>
      <c r="H22" s="43">
        <v>569938000</v>
      </c>
      <c r="I22" s="43">
        <f>G22-H22</f>
        <v>-304938000</v>
      </c>
      <c r="J22" s="635" t="s">
        <v>125</v>
      </c>
      <c r="K22" s="635" t="s">
        <v>240</v>
      </c>
      <c r="L22" s="606"/>
      <c r="M22" s="606"/>
      <c r="N22" s="606"/>
      <c r="O22" s="606"/>
      <c r="P22" s="636"/>
      <c r="Q22" s="606"/>
      <c r="R22" s="637"/>
      <c r="S22" s="638">
        <f>SUM(S23:S27)</f>
        <v>265000000</v>
      </c>
      <c r="T22" s="153"/>
    </row>
    <row r="23" spans="1:21" s="145" customFormat="1" ht="15.95" customHeight="1" x14ac:dyDescent="0.3">
      <c r="A23" s="143"/>
      <c r="B23" s="48"/>
      <c r="C23" s="60"/>
      <c r="D23" s="42"/>
      <c r="E23" s="42"/>
      <c r="F23" s="205" t="s">
        <v>240</v>
      </c>
      <c r="G23" s="43"/>
      <c r="H23" s="43"/>
      <c r="I23" s="43"/>
      <c r="J23" s="606" t="s">
        <v>66</v>
      </c>
      <c r="K23" s="635" t="s">
        <v>55</v>
      </c>
      <c r="L23" s="606"/>
      <c r="M23" s="606"/>
      <c r="N23" s="606"/>
      <c r="O23" s="606"/>
      <c r="P23" s="636"/>
      <c r="Q23" s="606"/>
      <c r="R23" s="637"/>
      <c r="S23" s="617">
        <f>SUM(R24:R27)</f>
        <v>265000000</v>
      </c>
      <c r="T23" s="153"/>
    </row>
    <row r="24" spans="1:21" s="39" customFormat="1" ht="15.95" customHeight="1" x14ac:dyDescent="0.3">
      <c r="A24" s="139"/>
      <c r="B24" s="459"/>
      <c r="C24" s="460"/>
      <c r="D24" s="461"/>
      <c r="E24" s="461"/>
      <c r="F24" s="1622"/>
      <c r="G24" s="462"/>
      <c r="H24" s="464"/>
      <c r="I24" s="462"/>
      <c r="J24" s="618"/>
      <c r="K24" s="625" t="s">
        <v>279</v>
      </c>
      <c r="L24" s="619"/>
      <c r="M24" s="619"/>
      <c r="N24" s="619"/>
      <c r="O24" s="619"/>
      <c r="P24" s="622"/>
      <c r="Q24" s="619"/>
      <c r="R24" s="628"/>
      <c r="S24" s="622"/>
      <c r="T24" s="463"/>
    </row>
    <row r="25" spans="1:21" s="39" customFormat="1" ht="15.95" customHeight="1" x14ac:dyDescent="0.3">
      <c r="A25" s="139"/>
      <c r="B25" s="459"/>
      <c r="C25" s="460"/>
      <c r="D25" s="461"/>
      <c r="E25" s="461"/>
      <c r="F25" s="1622"/>
      <c r="G25" s="462"/>
      <c r="H25" s="464"/>
      <c r="I25" s="462"/>
      <c r="J25" s="641"/>
      <c r="K25" s="621" t="s">
        <v>783</v>
      </c>
      <c r="L25" s="642"/>
      <c r="M25" s="642"/>
      <c r="N25" s="642"/>
      <c r="O25" s="642"/>
      <c r="P25" s="642" t="s">
        <v>794</v>
      </c>
      <c r="Q25" s="623" t="s">
        <v>98</v>
      </c>
      <c r="R25" s="643">
        <v>45000000</v>
      </c>
      <c r="S25" s="643"/>
      <c r="T25" s="463"/>
    </row>
    <row r="26" spans="1:21" s="39" customFormat="1" ht="15.95" customHeight="1" x14ac:dyDescent="0.3">
      <c r="A26" s="139"/>
      <c r="B26" s="459"/>
      <c r="C26" s="460"/>
      <c r="D26" s="461"/>
      <c r="E26" s="461"/>
      <c r="F26" s="1622"/>
      <c r="G26" s="462"/>
      <c r="H26" s="464"/>
      <c r="I26" s="462"/>
      <c r="J26" s="641"/>
      <c r="K26" s="621" t="s">
        <v>371</v>
      </c>
      <c r="L26" s="642"/>
      <c r="M26" s="642"/>
      <c r="N26" s="642"/>
      <c r="O26" s="642"/>
      <c r="P26" s="642"/>
      <c r="Q26" s="623" t="s">
        <v>98</v>
      </c>
      <c r="R26" s="643">
        <v>45000000</v>
      </c>
      <c r="S26" s="643"/>
      <c r="T26" s="463"/>
    </row>
    <row r="27" spans="1:21" s="39" customFormat="1" ht="15.95" customHeight="1" x14ac:dyDescent="0.3">
      <c r="A27" s="139"/>
      <c r="B27" s="459"/>
      <c r="C27" s="460"/>
      <c r="D27" s="461"/>
      <c r="E27" s="461"/>
      <c r="F27" s="1622"/>
      <c r="G27" s="462"/>
      <c r="H27" s="464"/>
      <c r="I27" s="462"/>
      <c r="J27" s="641"/>
      <c r="K27" s="621" t="s">
        <v>32</v>
      </c>
      <c r="L27" s="642"/>
      <c r="M27" s="642"/>
      <c r="N27" s="642"/>
      <c r="O27" s="642"/>
      <c r="P27" s="642" t="s">
        <v>795</v>
      </c>
      <c r="Q27" s="623" t="s">
        <v>98</v>
      </c>
      <c r="R27" s="643">
        <v>175000000</v>
      </c>
      <c r="S27" s="643"/>
      <c r="T27" s="463"/>
    </row>
    <row r="28" spans="1:21" s="47" customFormat="1" ht="17.45" hidden="1" customHeight="1" x14ac:dyDescent="0.3">
      <c r="A28" s="141"/>
      <c r="B28" s="201"/>
      <c r="C28" s="9"/>
      <c r="D28" s="202"/>
      <c r="E28" s="202"/>
      <c r="F28" s="202"/>
      <c r="G28" s="203"/>
      <c r="H28" s="203"/>
      <c r="I28" s="203"/>
      <c r="J28" s="645"/>
      <c r="K28" s="613" t="s">
        <v>404</v>
      </c>
      <c r="L28" s="613"/>
      <c r="M28" s="613"/>
      <c r="N28" s="613"/>
      <c r="O28" s="613"/>
      <c r="P28" s="646"/>
      <c r="Q28" s="615" t="s">
        <v>98</v>
      </c>
      <c r="R28" s="614"/>
      <c r="S28" s="647"/>
      <c r="T28" s="161"/>
    </row>
    <row r="29" spans="1:21" s="145" customFormat="1" ht="17.45" hidden="1" customHeight="1" x14ac:dyDescent="0.3">
      <c r="B29" s="48"/>
      <c r="C29" s="60"/>
      <c r="D29" s="42"/>
      <c r="E29" s="42"/>
      <c r="F29" s="42"/>
      <c r="G29" s="43"/>
      <c r="H29" s="43"/>
      <c r="I29" s="43"/>
      <c r="J29" s="606"/>
      <c r="K29" s="607" t="s">
        <v>566</v>
      </c>
      <c r="L29" s="608"/>
      <c r="M29" s="608"/>
      <c r="N29" s="608"/>
      <c r="O29" s="608"/>
      <c r="P29" s="609"/>
      <c r="Q29" s="608"/>
      <c r="R29" s="609"/>
      <c r="S29" s="609"/>
      <c r="T29" s="153"/>
    </row>
    <row r="30" spans="1:21" s="39" customFormat="1" ht="17.45" hidden="1" customHeight="1" x14ac:dyDescent="0.3">
      <c r="A30" s="142"/>
      <c r="B30" s="48"/>
      <c r="C30" s="60"/>
      <c r="D30" s="42"/>
      <c r="E30" s="42"/>
      <c r="F30" s="42"/>
      <c r="G30" s="43"/>
      <c r="H30" s="43"/>
      <c r="I30" s="43"/>
      <c r="J30" s="606"/>
      <c r="K30" s="2006" t="s">
        <v>29</v>
      </c>
      <c r="L30" s="2006"/>
      <c r="M30" s="2006"/>
      <c r="N30" s="2006"/>
      <c r="O30" s="2006"/>
      <c r="P30" s="648" t="s">
        <v>184</v>
      </c>
      <c r="Q30" s="639" t="s">
        <v>98</v>
      </c>
      <c r="R30" s="637"/>
      <c r="S30" s="637"/>
      <c r="T30" s="153"/>
      <c r="U30" s="140"/>
    </row>
    <row r="31" spans="1:21" s="39" customFormat="1" ht="17.45" hidden="1" customHeight="1" x14ac:dyDescent="0.3">
      <c r="A31" s="142"/>
      <c r="B31" s="48"/>
      <c r="C31" s="60"/>
      <c r="D31" s="42"/>
      <c r="E31" s="42"/>
      <c r="F31" s="42"/>
      <c r="G31" s="43"/>
      <c r="H31" s="43"/>
      <c r="I31" s="43"/>
      <c r="J31" s="606"/>
      <c r="K31" s="1992" t="s">
        <v>771</v>
      </c>
      <c r="L31" s="1992"/>
      <c r="M31" s="1992"/>
      <c r="N31" s="1992"/>
      <c r="O31" s="1992"/>
      <c r="P31" s="648" t="s">
        <v>184</v>
      </c>
      <c r="Q31" s="639" t="s">
        <v>98</v>
      </c>
      <c r="R31" s="637"/>
      <c r="S31" s="637"/>
      <c r="T31" s="153"/>
    </row>
    <row r="32" spans="1:21" s="39" customFormat="1" ht="27.2" hidden="1" customHeight="1" x14ac:dyDescent="0.3">
      <c r="A32" s="142"/>
      <c r="B32" s="48"/>
      <c r="C32" s="60"/>
      <c r="D32" s="42"/>
      <c r="E32" s="42"/>
      <c r="F32" s="42"/>
      <c r="G32" s="43"/>
      <c r="H32" s="43"/>
      <c r="I32" s="43"/>
      <c r="J32" s="606"/>
      <c r="K32" s="2010" t="s">
        <v>20</v>
      </c>
      <c r="L32" s="2010"/>
      <c r="M32" s="2010"/>
      <c r="N32" s="2010"/>
      <c r="O32" s="2010"/>
      <c r="P32" s="648" t="s">
        <v>224</v>
      </c>
      <c r="Q32" s="639" t="s">
        <v>98</v>
      </c>
      <c r="R32" s="637"/>
      <c r="S32" s="637"/>
      <c r="T32" s="153"/>
    </row>
    <row r="33" spans="1:20" s="39" customFormat="1" ht="25.5" hidden="1" customHeight="1" x14ac:dyDescent="0.3">
      <c r="A33" s="142"/>
      <c r="B33" s="48"/>
      <c r="C33" s="60"/>
      <c r="D33" s="42"/>
      <c r="E33" s="42"/>
      <c r="F33" s="42"/>
      <c r="G33" s="43"/>
      <c r="H33" s="43"/>
      <c r="I33" s="43"/>
      <c r="J33" s="606"/>
      <c r="K33" s="2010" t="s">
        <v>11</v>
      </c>
      <c r="L33" s="2010"/>
      <c r="M33" s="2010"/>
      <c r="N33" s="2010"/>
      <c r="O33" s="2010"/>
      <c r="P33" s="648" t="s">
        <v>224</v>
      </c>
      <c r="Q33" s="639" t="s">
        <v>98</v>
      </c>
      <c r="R33" s="637"/>
      <c r="S33" s="637"/>
      <c r="T33" s="153"/>
    </row>
    <row r="34" spans="1:20" s="39" customFormat="1" ht="23.45" hidden="1" customHeight="1" x14ac:dyDescent="0.3">
      <c r="A34" s="142"/>
      <c r="B34" s="48"/>
      <c r="C34" s="60"/>
      <c r="D34" s="42"/>
      <c r="E34" s="42"/>
      <c r="F34" s="42"/>
      <c r="G34" s="43"/>
      <c r="H34" s="43"/>
      <c r="I34" s="43"/>
      <c r="J34" s="606"/>
      <c r="K34" s="2006" t="s">
        <v>10</v>
      </c>
      <c r="L34" s="2006"/>
      <c r="M34" s="2006"/>
      <c r="N34" s="2006"/>
      <c r="O34" s="2006"/>
      <c r="P34" s="648" t="s">
        <v>198</v>
      </c>
      <c r="Q34" s="639" t="s">
        <v>98</v>
      </c>
      <c r="R34" s="637"/>
      <c r="S34" s="637"/>
      <c r="T34" s="153"/>
    </row>
    <row r="35" spans="1:20" s="145" customFormat="1" ht="18" hidden="1" customHeight="1" x14ac:dyDescent="0.3">
      <c r="B35" s="48"/>
      <c r="C35" s="60"/>
      <c r="D35" s="42"/>
      <c r="E35" s="42"/>
      <c r="F35" s="42"/>
      <c r="G35" s="43"/>
      <c r="H35" s="43"/>
      <c r="I35" s="43"/>
      <c r="J35" s="606"/>
      <c r="K35" s="607" t="s">
        <v>564</v>
      </c>
      <c r="L35" s="608"/>
      <c r="M35" s="608"/>
      <c r="N35" s="608"/>
      <c r="O35" s="608"/>
      <c r="P35" s="609"/>
      <c r="Q35" s="608"/>
      <c r="R35" s="609"/>
      <c r="S35" s="609"/>
      <c r="T35" s="153"/>
    </row>
    <row r="36" spans="1:20" s="138" customFormat="1" ht="18" hidden="1" customHeight="1" x14ac:dyDescent="0.3">
      <c r="A36" s="160"/>
      <c r="B36" s="195"/>
      <c r="C36" s="61"/>
      <c r="D36" s="196"/>
      <c r="E36" s="196"/>
      <c r="F36" s="196"/>
      <c r="G36" s="197"/>
      <c r="H36" s="197"/>
      <c r="I36" s="197"/>
      <c r="J36" s="606"/>
      <c r="K36" s="608" t="s">
        <v>21</v>
      </c>
      <c r="L36" s="608"/>
      <c r="M36" s="608"/>
      <c r="N36" s="608"/>
      <c r="O36" s="608"/>
      <c r="P36" s="649" t="s">
        <v>261</v>
      </c>
      <c r="Q36" s="650" t="s">
        <v>98</v>
      </c>
      <c r="R36" s="651"/>
      <c r="S36" s="637"/>
      <c r="T36" s="153"/>
    </row>
    <row r="37" spans="1:20" s="138" customFormat="1" ht="18" hidden="1" customHeight="1" x14ac:dyDescent="0.3">
      <c r="A37" s="160"/>
      <c r="B37" s="195"/>
      <c r="C37" s="61"/>
      <c r="D37" s="196"/>
      <c r="E37" s="196"/>
      <c r="F37" s="196"/>
      <c r="G37" s="197"/>
      <c r="H37" s="197"/>
      <c r="I37" s="197"/>
      <c r="J37" s="606"/>
      <c r="K37" s="608" t="s">
        <v>370</v>
      </c>
      <c r="L37" s="608"/>
      <c r="M37" s="608"/>
      <c r="N37" s="608"/>
      <c r="O37" s="608"/>
      <c r="P37" s="649" t="s">
        <v>632</v>
      </c>
      <c r="Q37" s="640" t="s">
        <v>98</v>
      </c>
      <c r="R37" s="609"/>
      <c r="S37" s="637"/>
      <c r="T37" s="153"/>
    </row>
    <row r="38" spans="1:20" s="138" customFormat="1" ht="18" hidden="1" customHeight="1" x14ac:dyDescent="0.3">
      <c r="A38" s="160"/>
      <c r="B38" s="195"/>
      <c r="C38" s="61"/>
      <c r="D38" s="196"/>
      <c r="E38" s="196"/>
      <c r="F38" s="196"/>
      <c r="G38" s="197"/>
      <c r="H38" s="197"/>
      <c r="I38" s="197"/>
      <c r="J38" s="606"/>
      <c r="K38" s="608" t="s">
        <v>24</v>
      </c>
      <c r="L38" s="608"/>
      <c r="M38" s="608"/>
      <c r="N38" s="608"/>
      <c r="O38" s="608"/>
      <c r="P38" s="649" t="s">
        <v>254</v>
      </c>
      <c r="Q38" s="640" t="s">
        <v>98</v>
      </c>
      <c r="R38" s="609"/>
      <c r="S38" s="637"/>
      <c r="T38" s="153"/>
    </row>
    <row r="39" spans="1:20" s="138" customFormat="1" ht="18" hidden="1" customHeight="1" x14ac:dyDescent="0.3">
      <c r="A39" s="160"/>
      <c r="B39" s="237"/>
      <c r="C39" s="235"/>
      <c r="D39" s="238"/>
      <c r="E39" s="238"/>
      <c r="F39" s="238"/>
      <c r="G39" s="239"/>
      <c r="H39" s="239"/>
      <c r="I39" s="239"/>
      <c r="J39" s="652"/>
      <c r="K39" s="653" t="s">
        <v>450</v>
      </c>
      <c r="L39" s="653"/>
      <c r="M39" s="653"/>
      <c r="N39" s="653"/>
      <c r="O39" s="653"/>
      <c r="P39" s="654" t="s">
        <v>254</v>
      </c>
      <c r="Q39" s="655" t="s">
        <v>98</v>
      </c>
      <c r="R39" s="656"/>
      <c r="S39" s="657"/>
      <c r="T39" s="236"/>
    </row>
    <row r="40" spans="1:20" s="145" customFormat="1" ht="18.600000000000001" hidden="1" customHeight="1" x14ac:dyDescent="0.3">
      <c r="B40" s="228"/>
      <c r="C40" s="229"/>
      <c r="D40" s="230"/>
      <c r="E40" s="230"/>
      <c r="F40" s="230"/>
      <c r="G40" s="231"/>
      <c r="H40" s="231"/>
      <c r="I40" s="231"/>
      <c r="J40" s="658"/>
      <c r="K40" s="659" t="s">
        <v>569</v>
      </c>
      <c r="L40" s="660"/>
      <c r="M40" s="660"/>
      <c r="N40" s="660"/>
      <c r="O40" s="660"/>
      <c r="P40" s="661"/>
      <c r="Q40" s="660"/>
      <c r="R40" s="661"/>
      <c r="S40" s="661"/>
      <c r="T40" s="232"/>
    </row>
    <row r="41" spans="1:20" s="39" customFormat="1" ht="18.600000000000001" hidden="1" customHeight="1" x14ac:dyDescent="0.3">
      <c r="A41" s="139"/>
      <c r="B41" s="48"/>
      <c r="C41" s="60"/>
      <c r="D41" s="42"/>
      <c r="E41" s="42"/>
      <c r="F41" s="42"/>
      <c r="G41" s="43"/>
      <c r="H41" s="43"/>
      <c r="I41" s="43"/>
      <c r="J41" s="606"/>
      <c r="K41" s="1992" t="s">
        <v>6</v>
      </c>
      <c r="L41" s="1992"/>
      <c r="M41" s="1992"/>
      <c r="N41" s="1992"/>
      <c r="O41" s="1992"/>
      <c r="P41" s="1992"/>
      <c r="Q41" s="639" t="s">
        <v>98</v>
      </c>
      <c r="R41" s="637"/>
      <c r="S41" s="611"/>
      <c r="T41" s="153"/>
    </row>
    <row r="42" spans="1:20" s="39" customFormat="1" ht="18.600000000000001" hidden="1" customHeight="1" x14ac:dyDescent="0.3">
      <c r="A42" s="139"/>
      <c r="B42" s="48"/>
      <c r="C42" s="60"/>
      <c r="D42" s="42"/>
      <c r="E42" s="42"/>
      <c r="F42" s="42"/>
      <c r="G42" s="43"/>
      <c r="H42" s="43"/>
      <c r="I42" s="43"/>
      <c r="J42" s="606"/>
      <c r="K42" s="1992" t="s">
        <v>374</v>
      </c>
      <c r="L42" s="1992"/>
      <c r="M42" s="1992"/>
      <c r="N42" s="1992"/>
      <c r="O42" s="1992"/>
      <c r="P42" s="1992"/>
      <c r="Q42" s="639" t="s">
        <v>98</v>
      </c>
      <c r="R42" s="637"/>
      <c r="S42" s="611"/>
      <c r="T42" s="153"/>
    </row>
    <row r="43" spans="1:20" s="39" customFormat="1" ht="18.600000000000001" hidden="1" customHeight="1" x14ac:dyDescent="0.3">
      <c r="A43" s="139"/>
      <c r="B43" s="48"/>
      <c r="C43" s="60"/>
      <c r="D43" s="42"/>
      <c r="E43" s="42"/>
      <c r="F43" s="42"/>
      <c r="G43" s="43"/>
      <c r="H43" s="43"/>
      <c r="I43" s="43"/>
      <c r="J43" s="606"/>
      <c r="K43" s="1992" t="s">
        <v>22</v>
      </c>
      <c r="L43" s="1992"/>
      <c r="M43" s="1992"/>
      <c r="N43" s="1992"/>
      <c r="O43" s="1992"/>
      <c r="P43" s="1992"/>
      <c r="Q43" s="639" t="s">
        <v>98</v>
      </c>
      <c r="R43" s="637"/>
      <c r="S43" s="611"/>
      <c r="T43" s="153"/>
    </row>
    <row r="44" spans="1:20" s="39" customFormat="1" ht="18.600000000000001" hidden="1" customHeight="1" x14ac:dyDescent="0.3">
      <c r="A44" s="139"/>
      <c r="B44" s="48"/>
      <c r="C44" s="60"/>
      <c r="D44" s="42"/>
      <c r="E44" s="42"/>
      <c r="F44" s="42"/>
      <c r="G44" s="43"/>
      <c r="H44" s="43"/>
      <c r="I44" s="43"/>
      <c r="J44" s="606"/>
      <c r="K44" s="1992" t="s">
        <v>28</v>
      </c>
      <c r="L44" s="1992"/>
      <c r="M44" s="1992"/>
      <c r="N44" s="1992"/>
      <c r="O44" s="1992"/>
      <c r="P44" s="1992"/>
      <c r="Q44" s="639" t="s">
        <v>98</v>
      </c>
      <c r="R44" s="637"/>
      <c r="S44" s="611"/>
      <c r="T44" s="153"/>
    </row>
    <row r="45" spans="1:20" s="39" customFormat="1" ht="18.600000000000001" hidden="1" customHeight="1" x14ac:dyDescent="0.3">
      <c r="A45" s="139"/>
      <c r="B45" s="48"/>
      <c r="C45" s="60"/>
      <c r="D45" s="42"/>
      <c r="E45" s="42"/>
      <c r="F45" s="42"/>
      <c r="G45" s="43"/>
      <c r="H45" s="43"/>
      <c r="I45" s="43"/>
      <c r="J45" s="606"/>
      <c r="K45" s="1992" t="s">
        <v>768</v>
      </c>
      <c r="L45" s="1992"/>
      <c r="M45" s="1992"/>
      <c r="N45" s="1992"/>
      <c r="O45" s="1992"/>
      <c r="P45" s="1992"/>
      <c r="Q45" s="639" t="s">
        <v>98</v>
      </c>
      <c r="R45" s="637"/>
      <c r="S45" s="611"/>
      <c r="T45" s="153"/>
    </row>
    <row r="46" spans="1:20" s="39" customFormat="1" ht="18.600000000000001" hidden="1" customHeight="1" x14ac:dyDescent="0.3">
      <c r="A46" s="139"/>
      <c r="B46" s="48"/>
      <c r="C46" s="60"/>
      <c r="D46" s="42"/>
      <c r="E46" s="42"/>
      <c r="F46" s="42"/>
      <c r="G46" s="43"/>
      <c r="H46" s="43"/>
      <c r="I46" s="43"/>
      <c r="J46" s="606"/>
      <c r="K46" s="1992" t="s">
        <v>38</v>
      </c>
      <c r="L46" s="1992"/>
      <c r="M46" s="1992"/>
      <c r="N46" s="1992"/>
      <c r="O46" s="1992"/>
      <c r="P46" s="1992"/>
      <c r="Q46" s="639" t="s">
        <v>98</v>
      </c>
      <c r="R46" s="637"/>
      <c r="S46" s="611"/>
      <c r="T46" s="153"/>
    </row>
    <row r="47" spans="1:20" s="39" customFormat="1" ht="18.600000000000001" hidden="1" customHeight="1" x14ac:dyDescent="0.3">
      <c r="A47" s="139"/>
      <c r="B47" s="48"/>
      <c r="C47" s="60"/>
      <c r="D47" s="42"/>
      <c r="E47" s="42"/>
      <c r="F47" s="42"/>
      <c r="G47" s="43"/>
      <c r="H47" s="43"/>
      <c r="I47" s="43"/>
      <c r="J47" s="606"/>
      <c r="K47" s="1992" t="s">
        <v>36</v>
      </c>
      <c r="L47" s="1992"/>
      <c r="M47" s="1992"/>
      <c r="N47" s="1992"/>
      <c r="O47" s="1992"/>
      <c r="P47" s="1992"/>
      <c r="Q47" s="639" t="s">
        <v>98</v>
      </c>
      <c r="R47" s="637"/>
      <c r="S47" s="611"/>
      <c r="T47" s="153"/>
    </row>
    <row r="48" spans="1:20" s="39" customFormat="1" ht="18.600000000000001" hidden="1" customHeight="1" x14ac:dyDescent="0.3">
      <c r="A48" s="139"/>
      <c r="B48" s="48"/>
      <c r="C48" s="60"/>
      <c r="D48" s="42"/>
      <c r="E48" s="42"/>
      <c r="F48" s="42"/>
      <c r="G48" s="43"/>
      <c r="H48" s="43"/>
      <c r="I48" s="43"/>
      <c r="J48" s="606"/>
      <c r="K48" s="1992" t="s">
        <v>440</v>
      </c>
      <c r="L48" s="1992"/>
      <c r="M48" s="1992"/>
      <c r="N48" s="1992"/>
      <c r="O48" s="1992"/>
      <c r="P48" s="1992"/>
      <c r="Q48" s="639" t="s">
        <v>98</v>
      </c>
      <c r="R48" s="637"/>
      <c r="S48" s="611"/>
      <c r="T48" s="153"/>
    </row>
    <row r="49" spans="1:20" s="145" customFormat="1" ht="18.600000000000001" hidden="1" customHeight="1" x14ac:dyDescent="0.3">
      <c r="A49" s="143"/>
      <c r="B49" s="48"/>
      <c r="C49" s="60"/>
      <c r="D49" s="42"/>
      <c r="E49" s="42"/>
      <c r="F49" s="42"/>
      <c r="G49" s="43"/>
      <c r="H49" s="43"/>
      <c r="I49" s="43"/>
      <c r="J49" s="606" t="s">
        <v>66</v>
      </c>
      <c r="K49" s="635" t="s">
        <v>79</v>
      </c>
      <c r="L49" s="606"/>
      <c r="M49" s="606"/>
      <c r="N49" s="606"/>
      <c r="O49" s="606"/>
      <c r="P49" s="636"/>
      <c r="Q49" s="606"/>
      <c r="R49" s="637"/>
      <c r="S49" s="637">
        <f>SUM(R50:R61)</f>
        <v>0</v>
      </c>
      <c r="T49" s="153"/>
    </row>
    <row r="50" spans="1:20" s="149" customFormat="1" ht="18.600000000000001" hidden="1" customHeight="1" x14ac:dyDescent="0.3">
      <c r="B50" s="188"/>
      <c r="C50" s="189"/>
      <c r="D50" s="190"/>
      <c r="E50" s="190"/>
      <c r="F50" s="191"/>
      <c r="G50" s="192"/>
      <c r="H50" s="192"/>
      <c r="I50" s="192"/>
      <c r="J50" s="606"/>
      <c r="K50" s="607" t="s">
        <v>565</v>
      </c>
      <c r="L50" s="608"/>
      <c r="M50" s="608"/>
      <c r="N50" s="608"/>
      <c r="O50" s="608"/>
      <c r="P50" s="609"/>
      <c r="Q50" s="608"/>
      <c r="R50" s="609"/>
      <c r="S50" s="616"/>
      <c r="T50" s="154"/>
    </row>
    <row r="51" spans="1:20" s="145" customFormat="1" ht="18.600000000000001" hidden="1" customHeight="1" x14ac:dyDescent="0.3">
      <c r="A51" s="143"/>
      <c r="B51" s="48"/>
      <c r="C51" s="60"/>
      <c r="D51" s="42"/>
      <c r="E51" s="42"/>
      <c r="F51" s="42"/>
      <c r="G51" s="43"/>
      <c r="H51" s="43"/>
      <c r="I51" s="43"/>
      <c r="J51" s="606"/>
      <c r="K51" s="1992" t="s">
        <v>2</v>
      </c>
      <c r="L51" s="1992"/>
      <c r="M51" s="1992"/>
      <c r="N51" s="1992"/>
      <c r="O51" s="1992"/>
      <c r="P51" s="1992"/>
      <c r="Q51" s="639" t="s">
        <v>98</v>
      </c>
      <c r="R51" s="637"/>
      <c r="S51" s="637"/>
      <c r="T51" s="153"/>
    </row>
    <row r="52" spans="1:20" s="145" customFormat="1" ht="18.600000000000001" hidden="1" customHeight="1" x14ac:dyDescent="0.3">
      <c r="B52" s="48"/>
      <c r="C52" s="60"/>
      <c r="D52" s="42"/>
      <c r="E52" s="42"/>
      <c r="F52" s="42"/>
      <c r="G52" s="43"/>
      <c r="H52" s="43"/>
      <c r="I52" s="43"/>
      <c r="J52" s="606"/>
      <c r="K52" s="607" t="s">
        <v>558</v>
      </c>
      <c r="L52" s="608"/>
      <c r="M52" s="608"/>
      <c r="N52" s="608"/>
      <c r="O52" s="608"/>
      <c r="P52" s="609"/>
      <c r="Q52" s="608"/>
      <c r="R52" s="609"/>
      <c r="S52" s="609"/>
      <c r="T52" s="153"/>
    </row>
    <row r="53" spans="1:20" s="39" customFormat="1" ht="18.600000000000001" hidden="1" customHeight="1" x14ac:dyDescent="0.3">
      <c r="A53" s="139"/>
      <c r="B53" s="48"/>
      <c r="C53" s="60"/>
      <c r="D53" s="42"/>
      <c r="E53" s="42"/>
      <c r="F53" s="204"/>
      <c r="G53" s="43"/>
      <c r="H53" s="43"/>
      <c r="I53" s="43"/>
      <c r="J53" s="606"/>
      <c r="K53" s="1992" t="s">
        <v>784</v>
      </c>
      <c r="L53" s="1992"/>
      <c r="M53" s="1992"/>
      <c r="N53" s="1992"/>
      <c r="O53" s="1992"/>
      <c r="P53" s="1992"/>
      <c r="Q53" s="639" t="s">
        <v>98</v>
      </c>
      <c r="R53" s="637"/>
      <c r="S53" s="637"/>
      <c r="T53" s="153"/>
    </row>
    <row r="54" spans="1:20" s="145" customFormat="1" ht="18.600000000000001" hidden="1" customHeight="1" x14ac:dyDescent="0.3">
      <c r="B54" s="48"/>
      <c r="C54" s="60"/>
      <c r="D54" s="42"/>
      <c r="E54" s="42"/>
      <c r="F54" s="42"/>
      <c r="G54" s="43"/>
      <c r="H54" s="43"/>
      <c r="I54" s="43"/>
      <c r="J54" s="606"/>
      <c r="K54" s="607" t="s">
        <v>566</v>
      </c>
      <c r="L54" s="608"/>
      <c r="M54" s="608"/>
      <c r="N54" s="608"/>
      <c r="O54" s="608"/>
      <c r="P54" s="609"/>
      <c r="Q54" s="608"/>
      <c r="R54" s="609"/>
      <c r="S54" s="609"/>
      <c r="T54" s="153"/>
    </row>
    <row r="55" spans="1:20" s="39" customFormat="1" ht="18.600000000000001" hidden="1" customHeight="1" x14ac:dyDescent="0.3">
      <c r="A55" s="142"/>
      <c r="B55" s="48"/>
      <c r="C55" s="60"/>
      <c r="D55" s="42"/>
      <c r="E55" s="42"/>
      <c r="F55" s="42"/>
      <c r="G55" s="43"/>
      <c r="H55" s="43"/>
      <c r="I55" s="43"/>
      <c r="J55" s="606"/>
      <c r="K55" s="2006" t="s">
        <v>29</v>
      </c>
      <c r="L55" s="2006"/>
      <c r="M55" s="2006"/>
      <c r="N55" s="2006"/>
      <c r="O55" s="2006"/>
      <c r="P55" s="648" t="s">
        <v>223</v>
      </c>
      <c r="Q55" s="639" t="s">
        <v>98</v>
      </c>
      <c r="R55" s="637"/>
      <c r="S55" s="637"/>
      <c r="T55" s="153"/>
    </row>
    <row r="56" spans="1:20" s="39" customFormat="1" ht="25.5" hidden="1" customHeight="1" x14ac:dyDescent="0.3">
      <c r="A56" s="142"/>
      <c r="B56" s="48"/>
      <c r="C56" s="60"/>
      <c r="D56" s="42"/>
      <c r="E56" s="42"/>
      <c r="F56" s="42"/>
      <c r="G56" s="43"/>
      <c r="H56" s="43"/>
      <c r="I56" s="43"/>
      <c r="J56" s="606"/>
      <c r="K56" s="2010" t="s">
        <v>11</v>
      </c>
      <c r="L56" s="2010"/>
      <c r="M56" s="2010"/>
      <c r="N56" s="2010"/>
      <c r="O56" s="2010"/>
      <c r="P56" s="648" t="s">
        <v>223</v>
      </c>
      <c r="Q56" s="639" t="s">
        <v>98</v>
      </c>
      <c r="R56" s="637"/>
      <c r="S56" s="637"/>
      <c r="T56" s="153"/>
    </row>
    <row r="57" spans="1:20" s="145" customFormat="1" ht="18.600000000000001" hidden="1" customHeight="1" x14ac:dyDescent="0.3">
      <c r="B57" s="48"/>
      <c r="C57" s="60"/>
      <c r="D57" s="42"/>
      <c r="E57" s="42"/>
      <c r="F57" s="42"/>
      <c r="G57" s="43"/>
      <c r="H57" s="43"/>
      <c r="I57" s="43"/>
      <c r="J57" s="606"/>
      <c r="K57" s="607" t="s">
        <v>564</v>
      </c>
      <c r="L57" s="608"/>
      <c r="M57" s="608"/>
      <c r="N57" s="608"/>
      <c r="O57" s="608"/>
      <c r="P57" s="609"/>
      <c r="Q57" s="608"/>
      <c r="R57" s="609"/>
      <c r="S57" s="609"/>
      <c r="T57" s="153"/>
    </row>
    <row r="58" spans="1:20" s="138" customFormat="1" ht="18.600000000000001" hidden="1" customHeight="1" x14ac:dyDescent="0.3">
      <c r="A58" s="160"/>
      <c r="B58" s="195"/>
      <c r="C58" s="61"/>
      <c r="D58" s="196"/>
      <c r="E58" s="196"/>
      <c r="F58" s="196"/>
      <c r="G58" s="197"/>
      <c r="H58" s="197"/>
      <c r="I58" s="197"/>
      <c r="J58" s="606"/>
      <c r="K58" s="608" t="s">
        <v>21</v>
      </c>
      <c r="L58" s="608"/>
      <c r="M58" s="608"/>
      <c r="N58" s="608"/>
      <c r="O58" s="608"/>
      <c r="P58" s="649" t="s">
        <v>223</v>
      </c>
      <c r="Q58" s="639" t="s">
        <v>98</v>
      </c>
      <c r="R58" s="651"/>
      <c r="S58" s="637"/>
      <c r="T58" s="153"/>
    </row>
    <row r="59" spans="1:20" s="138" customFormat="1" ht="18.600000000000001" hidden="1" customHeight="1" x14ac:dyDescent="0.3">
      <c r="A59" s="160"/>
      <c r="B59" s="195"/>
      <c r="C59" s="61"/>
      <c r="D59" s="196"/>
      <c r="E59" s="196"/>
      <c r="F59" s="196"/>
      <c r="G59" s="197"/>
      <c r="H59" s="197"/>
      <c r="I59" s="197"/>
      <c r="J59" s="606"/>
      <c r="K59" s="608" t="s">
        <v>450</v>
      </c>
      <c r="L59" s="608"/>
      <c r="M59" s="608"/>
      <c r="N59" s="608"/>
      <c r="O59" s="608"/>
      <c r="P59" s="649" t="s">
        <v>223</v>
      </c>
      <c r="Q59" s="640" t="s">
        <v>98</v>
      </c>
      <c r="R59" s="609"/>
      <c r="S59" s="637"/>
      <c r="T59" s="153"/>
    </row>
    <row r="60" spans="1:20" s="145" customFormat="1" ht="18.600000000000001" hidden="1" customHeight="1" x14ac:dyDescent="0.3">
      <c r="B60" s="48"/>
      <c r="C60" s="60"/>
      <c r="D60" s="42"/>
      <c r="E60" s="42"/>
      <c r="F60" s="42"/>
      <c r="G60" s="43"/>
      <c r="H60" s="43"/>
      <c r="I60" s="43"/>
      <c r="J60" s="606"/>
      <c r="K60" s="607" t="s">
        <v>569</v>
      </c>
      <c r="L60" s="608"/>
      <c r="M60" s="608"/>
      <c r="N60" s="608"/>
      <c r="O60" s="608"/>
      <c r="P60" s="609"/>
      <c r="Q60" s="608"/>
      <c r="R60" s="609"/>
      <c r="S60" s="609"/>
      <c r="T60" s="153"/>
    </row>
    <row r="61" spans="1:20" s="39" customFormat="1" ht="18.600000000000001" hidden="1" customHeight="1" x14ac:dyDescent="0.3">
      <c r="A61" s="139"/>
      <c r="B61" s="48"/>
      <c r="C61" s="60"/>
      <c r="D61" s="42"/>
      <c r="E61" s="42"/>
      <c r="F61" s="42"/>
      <c r="G61" s="43"/>
      <c r="H61" s="43"/>
      <c r="I61" s="43"/>
      <c r="J61" s="606"/>
      <c r="K61" s="1992" t="s">
        <v>779</v>
      </c>
      <c r="L61" s="1992"/>
      <c r="M61" s="1992"/>
      <c r="N61" s="1992"/>
      <c r="O61" s="1992"/>
      <c r="P61" s="1992"/>
      <c r="Q61" s="639" t="s">
        <v>98</v>
      </c>
      <c r="R61" s="637"/>
      <c r="S61" s="611"/>
      <c r="T61" s="153"/>
    </row>
    <row r="62" spans="1:20" s="145" customFormat="1" ht="18.600000000000001" hidden="1" customHeight="1" x14ac:dyDescent="0.3">
      <c r="A62" s="143"/>
      <c r="B62" s="48"/>
      <c r="C62" s="60"/>
      <c r="D62" s="42"/>
      <c r="E62" s="42"/>
      <c r="F62" s="42"/>
      <c r="G62" s="43"/>
      <c r="H62" s="43"/>
      <c r="I62" s="43"/>
      <c r="J62" s="644" t="s">
        <v>66</v>
      </c>
      <c r="K62" s="635" t="s">
        <v>69</v>
      </c>
      <c r="L62" s="606"/>
      <c r="M62" s="606"/>
      <c r="N62" s="606"/>
      <c r="O62" s="606"/>
      <c r="P62" s="636"/>
      <c r="Q62" s="606"/>
      <c r="R62" s="637"/>
      <c r="S62" s="637">
        <f>SUM(R64:R75)</f>
        <v>0</v>
      </c>
      <c r="T62" s="153"/>
    </row>
    <row r="63" spans="1:20" s="149" customFormat="1" ht="18.600000000000001" hidden="1" customHeight="1" x14ac:dyDescent="0.3">
      <c r="B63" s="188"/>
      <c r="C63" s="189"/>
      <c r="D63" s="190"/>
      <c r="E63" s="190"/>
      <c r="F63" s="191"/>
      <c r="G63" s="192"/>
      <c r="H63" s="192"/>
      <c r="I63" s="192"/>
      <c r="J63" s="644"/>
      <c r="K63" s="607" t="s">
        <v>565</v>
      </c>
      <c r="L63" s="608"/>
      <c r="M63" s="608"/>
      <c r="N63" s="608"/>
      <c r="O63" s="608"/>
      <c r="P63" s="609"/>
      <c r="Q63" s="608"/>
      <c r="R63" s="609"/>
      <c r="S63" s="616"/>
      <c r="T63" s="154"/>
    </row>
    <row r="64" spans="1:20" s="145" customFormat="1" ht="18.600000000000001" hidden="1" customHeight="1" x14ac:dyDescent="0.3">
      <c r="A64" s="143"/>
      <c r="B64" s="233"/>
      <c r="C64" s="206"/>
      <c r="D64" s="207"/>
      <c r="E64" s="207"/>
      <c r="F64" s="207"/>
      <c r="G64" s="234"/>
      <c r="H64" s="234"/>
      <c r="I64" s="234"/>
      <c r="J64" s="662"/>
      <c r="K64" s="2015" t="s">
        <v>27</v>
      </c>
      <c r="L64" s="2015"/>
      <c r="M64" s="2015"/>
      <c r="N64" s="2015"/>
      <c r="O64" s="2015"/>
      <c r="P64" s="2015"/>
      <c r="Q64" s="663" t="s">
        <v>98</v>
      </c>
      <c r="R64" s="657"/>
      <c r="S64" s="657"/>
      <c r="T64" s="236"/>
    </row>
    <row r="65" spans="1:20" s="145" customFormat="1" ht="16.5" hidden="1" customHeight="1" x14ac:dyDescent="0.3">
      <c r="B65" s="228"/>
      <c r="C65" s="229"/>
      <c r="D65" s="230"/>
      <c r="E65" s="230"/>
      <c r="F65" s="230"/>
      <c r="G65" s="231"/>
      <c r="H65" s="231"/>
      <c r="I65" s="231"/>
      <c r="J65" s="664"/>
      <c r="K65" s="659" t="s">
        <v>558</v>
      </c>
      <c r="L65" s="660"/>
      <c r="M65" s="660"/>
      <c r="N65" s="660"/>
      <c r="O65" s="660"/>
      <c r="P65" s="661"/>
      <c r="Q65" s="660"/>
      <c r="R65" s="661"/>
      <c r="S65" s="661"/>
      <c r="T65" s="232"/>
    </row>
    <row r="66" spans="1:20" s="39" customFormat="1" ht="16.350000000000001" hidden="1" customHeight="1" x14ac:dyDescent="0.3">
      <c r="A66" s="139"/>
      <c r="B66" s="48"/>
      <c r="C66" s="60"/>
      <c r="D66" s="42"/>
      <c r="E66" s="42"/>
      <c r="F66" s="42"/>
      <c r="G66" s="43"/>
      <c r="H66" s="43"/>
      <c r="I66" s="43"/>
      <c r="J66" s="644"/>
      <c r="K66" s="1992" t="s">
        <v>1</v>
      </c>
      <c r="L66" s="1992"/>
      <c r="M66" s="1992"/>
      <c r="N66" s="1992"/>
      <c r="O66" s="1992"/>
      <c r="P66" s="1992"/>
      <c r="Q66" s="639" t="s">
        <v>98</v>
      </c>
      <c r="R66" s="637"/>
      <c r="S66" s="637"/>
      <c r="T66" s="153"/>
    </row>
    <row r="67" spans="1:20" s="39" customFormat="1" ht="16.350000000000001" hidden="1" customHeight="1" x14ac:dyDescent="0.3">
      <c r="A67" s="139"/>
      <c r="B67" s="48"/>
      <c r="C67" s="60"/>
      <c r="D67" s="42"/>
      <c r="E67" s="42"/>
      <c r="F67" s="42"/>
      <c r="G67" s="43"/>
      <c r="H67" s="43"/>
      <c r="I67" s="43"/>
      <c r="J67" s="606"/>
      <c r="K67" s="1992" t="s">
        <v>789</v>
      </c>
      <c r="L67" s="1992"/>
      <c r="M67" s="1992"/>
      <c r="N67" s="1992"/>
      <c r="O67" s="1992"/>
      <c r="P67" s="1992"/>
      <c r="Q67" s="639" t="s">
        <v>98</v>
      </c>
      <c r="R67" s="637"/>
      <c r="S67" s="637"/>
      <c r="T67" s="153"/>
    </row>
    <row r="68" spans="1:20" s="145" customFormat="1" ht="15.95" hidden="1" customHeight="1" x14ac:dyDescent="0.3">
      <c r="B68" s="48"/>
      <c r="C68" s="60"/>
      <c r="D68" s="42"/>
      <c r="E68" s="42"/>
      <c r="F68" s="42"/>
      <c r="G68" s="43"/>
      <c r="H68" s="43"/>
      <c r="I68" s="43"/>
      <c r="J68" s="606"/>
      <c r="K68" s="607" t="s">
        <v>566</v>
      </c>
      <c r="L68" s="608"/>
      <c r="M68" s="608"/>
      <c r="N68" s="608"/>
      <c r="O68" s="608"/>
      <c r="P68" s="609"/>
      <c r="Q68" s="608"/>
      <c r="R68" s="609"/>
      <c r="S68" s="609"/>
      <c r="T68" s="153"/>
    </row>
    <row r="69" spans="1:20" s="39" customFormat="1" ht="15.95" hidden="1" customHeight="1" x14ac:dyDescent="0.3">
      <c r="A69" s="142"/>
      <c r="B69" s="48"/>
      <c r="C69" s="60"/>
      <c r="D69" s="42"/>
      <c r="E69" s="42"/>
      <c r="F69" s="42"/>
      <c r="G69" s="43"/>
      <c r="H69" s="43"/>
      <c r="I69" s="43"/>
      <c r="J69" s="606"/>
      <c r="K69" s="2006" t="s">
        <v>29</v>
      </c>
      <c r="L69" s="2006"/>
      <c r="M69" s="2006"/>
      <c r="N69" s="2006"/>
      <c r="O69" s="2006"/>
      <c r="P69" s="648" t="s">
        <v>242</v>
      </c>
      <c r="Q69" s="639" t="s">
        <v>98</v>
      </c>
      <c r="R69" s="637"/>
      <c r="S69" s="637"/>
      <c r="T69" s="153"/>
    </row>
    <row r="70" spans="1:20" s="145" customFormat="1" ht="16.5" hidden="1" customHeight="1" x14ac:dyDescent="0.3">
      <c r="B70" s="48"/>
      <c r="C70" s="60"/>
      <c r="D70" s="42"/>
      <c r="E70" s="42"/>
      <c r="F70" s="42"/>
      <c r="G70" s="43"/>
      <c r="H70" s="43"/>
      <c r="I70" s="43"/>
      <c r="J70" s="606"/>
      <c r="K70" s="607" t="s">
        <v>564</v>
      </c>
      <c r="L70" s="608"/>
      <c r="M70" s="608"/>
      <c r="N70" s="608"/>
      <c r="O70" s="608"/>
      <c r="P70" s="609"/>
      <c r="Q70" s="608"/>
      <c r="R70" s="609"/>
      <c r="S70" s="609"/>
      <c r="T70" s="153"/>
    </row>
    <row r="71" spans="1:20" s="138" customFormat="1" ht="18" hidden="1" customHeight="1" x14ac:dyDescent="0.3">
      <c r="A71" s="160"/>
      <c r="B71" s="195"/>
      <c r="C71" s="61"/>
      <c r="D71" s="196"/>
      <c r="E71" s="196"/>
      <c r="F71" s="196"/>
      <c r="G71" s="197"/>
      <c r="H71" s="197"/>
      <c r="I71" s="197"/>
      <c r="J71" s="606"/>
      <c r="K71" s="608" t="s">
        <v>21</v>
      </c>
      <c r="L71" s="608"/>
      <c r="M71" s="608"/>
      <c r="N71" s="608"/>
      <c r="O71" s="608"/>
      <c r="P71" s="649" t="s">
        <v>243</v>
      </c>
      <c r="Q71" s="639" t="s">
        <v>98</v>
      </c>
      <c r="R71" s="637"/>
      <c r="S71" s="637"/>
      <c r="T71" s="153"/>
    </row>
    <row r="72" spans="1:20" s="138" customFormat="1" ht="17.45" hidden="1" customHeight="1" x14ac:dyDescent="0.3">
      <c r="A72" s="160"/>
      <c r="B72" s="195"/>
      <c r="C72" s="61"/>
      <c r="D72" s="196"/>
      <c r="E72" s="196"/>
      <c r="F72" s="196"/>
      <c r="G72" s="197"/>
      <c r="H72" s="197"/>
      <c r="I72" s="197"/>
      <c r="J72" s="606"/>
      <c r="K72" s="608" t="s">
        <v>33</v>
      </c>
      <c r="L72" s="608"/>
      <c r="M72" s="608"/>
      <c r="N72" s="608"/>
      <c r="O72" s="608"/>
      <c r="P72" s="649" t="s">
        <v>231</v>
      </c>
      <c r="Q72" s="630" t="s">
        <v>98</v>
      </c>
      <c r="R72" s="665"/>
      <c r="S72" s="637"/>
      <c r="T72" s="153"/>
    </row>
    <row r="73" spans="1:20" s="138" customFormat="1" ht="18" hidden="1" customHeight="1" x14ac:dyDescent="0.3">
      <c r="A73" s="160"/>
      <c r="B73" s="195"/>
      <c r="C73" s="61"/>
      <c r="D73" s="196"/>
      <c r="E73" s="196"/>
      <c r="F73" s="196"/>
      <c r="G73" s="197"/>
      <c r="H73" s="197"/>
      <c r="I73" s="197"/>
      <c r="J73" s="606"/>
      <c r="K73" s="608" t="s">
        <v>450</v>
      </c>
      <c r="L73" s="608"/>
      <c r="M73" s="608"/>
      <c r="N73" s="608"/>
      <c r="O73" s="608"/>
      <c r="P73" s="649" t="s">
        <v>231</v>
      </c>
      <c r="Q73" s="640" t="s">
        <v>98</v>
      </c>
      <c r="R73" s="609"/>
      <c r="S73" s="637"/>
      <c r="T73" s="153"/>
    </row>
    <row r="74" spans="1:20" s="145" customFormat="1" ht="16.5" hidden="1" customHeight="1" x14ac:dyDescent="0.3">
      <c r="B74" s="48"/>
      <c r="C74" s="60"/>
      <c r="D74" s="42"/>
      <c r="E74" s="42"/>
      <c r="F74" s="42"/>
      <c r="G74" s="43"/>
      <c r="H74" s="43"/>
      <c r="I74" s="43"/>
      <c r="J74" s="606"/>
      <c r="K74" s="607" t="s">
        <v>569</v>
      </c>
      <c r="L74" s="608"/>
      <c r="M74" s="608"/>
      <c r="N74" s="608"/>
      <c r="O74" s="608"/>
      <c r="P74" s="609"/>
      <c r="Q74" s="608"/>
      <c r="R74" s="609"/>
      <c r="S74" s="609"/>
      <c r="T74" s="153"/>
    </row>
    <row r="75" spans="1:20" s="39" customFormat="1" ht="17.45" hidden="1" customHeight="1" x14ac:dyDescent="0.3">
      <c r="A75" s="139"/>
      <c r="B75" s="48"/>
      <c r="C75" s="60"/>
      <c r="D75" s="42"/>
      <c r="E75" s="42"/>
      <c r="F75" s="42"/>
      <c r="G75" s="43"/>
      <c r="H75" s="43"/>
      <c r="I75" s="43"/>
      <c r="J75" s="606"/>
      <c r="K75" s="1992" t="s">
        <v>765</v>
      </c>
      <c r="L75" s="1992"/>
      <c r="M75" s="1992"/>
      <c r="N75" s="1992"/>
      <c r="O75" s="1992"/>
      <c r="P75" s="1992"/>
      <c r="Q75" s="639" t="s">
        <v>98</v>
      </c>
      <c r="R75" s="637"/>
      <c r="S75" s="611"/>
      <c r="T75" s="153"/>
    </row>
    <row r="76" spans="1:20" s="39" customFormat="1" ht="16.350000000000001" hidden="1" customHeight="1" x14ac:dyDescent="0.3">
      <c r="A76" s="139"/>
      <c r="B76" s="48"/>
      <c r="C76" s="60"/>
      <c r="D76" s="42"/>
      <c r="E76" s="42"/>
      <c r="F76" s="42"/>
      <c r="G76" s="43"/>
      <c r="H76" s="43"/>
      <c r="I76" s="43"/>
      <c r="J76" s="606" t="s">
        <v>66</v>
      </c>
      <c r="K76" s="635" t="s">
        <v>645</v>
      </c>
      <c r="L76" s="666"/>
      <c r="M76" s="666"/>
      <c r="N76" s="666"/>
      <c r="O76" s="666"/>
      <c r="P76" s="666"/>
      <c r="Q76" s="639"/>
      <c r="R76" s="637"/>
      <c r="S76" s="637">
        <f>SUM(R78)</f>
        <v>0</v>
      </c>
      <c r="T76" s="153"/>
    </row>
    <row r="77" spans="1:20" s="145" customFormat="1" ht="16.5" hidden="1" customHeight="1" x14ac:dyDescent="0.3">
      <c r="B77" s="48"/>
      <c r="C77" s="60"/>
      <c r="D77" s="42"/>
      <c r="E77" s="42"/>
      <c r="F77" s="42"/>
      <c r="G77" s="43"/>
      <c r="H77" s="43"/>
      <c r="I77" s="43"/>
      <c r="J77" s="644"/>
      <c r="K77" s="607" t="s">
        <v>558</v>
      </c>
      <c r="L77" s="608"/>
      <c r="M77" s="608"/>
      <c r="N77" s="608"/>
      <c r="O77" s="608"/>
      <c r="P77" s="609"/>
      <c r="Q77" s="608"/>
      <c r="R77" s="609"/>
      <c r="S77" s="609"/>
      <c r="T77" s="153"/>
    </row>
    <row r="78" spans="1:20" s="39" customFormat="1" ht="16.350000000000001" hidden="1" customHeight="1" x14ac:dyDescent="0.3">
      <c r="A78" s="139"/>
      <c r="B78" s="48"/>
      <c r="C78" s="60"/>
      <c r="D78" s="42"/>
      <c r="E78" s="42"/>
      <c r="F78" s="42"/>
      <c r="G78" s="43"/>
      <c r="H78" s="43"/>
      <c r="I78" s="43"/>
      <c r="J78" s="644"/>
      <c r="K78" s="1992" t="s">
        <v>788</v>
      </c>
      <c r="L78" s="1992"/>
      <c r="M78" s="1992"/>
      <c r="N78" s="1992"/>
      <c r="O78" s="1992"/>
      <c r="P78" s="1992"/>
      <c r="Q78" s="639" t="s">
        <v>98</v>
      </c>
      <c r="R78" s="637"/>
      <c r="S78" s="637"/>
      <c r="T78" s="153"/>
    </row>
    <row r="79" spans="1:20" s="145" customFormat="1" ht="16.350000000000001" customHeight="1" x14ac:dyDescent="0.3">
      <c r="A79" s="143"/>
      <c r="B79" s="48"/>
      <c r="C79" s="60"/>
      <c r="D79" s="42"/>
      <c r="E79" s="42"/>
      <c r="F79" s="182" t="s">
        <v>221</v>
      </c>
      <c r="G79" s="183">
        <f>S79</f>
        <v>35000000</v>
      </c>
      <c r="H79" s="183">
        <v>165636000</v>
      </c>
      <c r="I79" s="183">
        <f>G79-H79</f>
        <v>-130636000</v>
      </c>
      <c r="J79" s="667" t="s">
        <v>125</v>
      </c>
      <c r="K79" s="668" t="s">
        <v>218</v>
      </c>
      <c r="L79" s="669"/>
      <c r="M79" s="669"/>
      <c r="N79" s="669"/>
      <c r="O79" s="669"/>
      <c r="P79" s="670"/>
      <c r="Q79" s="669"/>
      <c r="R79" s="671"/>
      <c r="S79" s="638">
        <f>SUM(S80:S84)</f>
        <v>35000000</v>
      </c>
      <c r="T79" s="152"/>
    </row>
    <row r="80" spans="1:20" s="40" customFormat="1" ht="16.350000000000001" customHeight="1" x14ac:dyDescent="0.3">
      <c r="A80" s="451"/>
      <c r="B80" s="48"/>
      <c r="C80" s="60"/>
      <c r="D80" s="42"/>
      <c r="E80" s="42"/>
      <c r="F80" s="42" t="s">
        <v>218</v>
      </c>
      <c r="G80" s="43"/>
      <c r="H80" s="43"/>
      <c r="I80" s="43"/>
      <c r="J80" s="606" t="s">
        <v>66</v>
      </c>
      <c r="K80" s="635" t="s">
        <v>55</v>
      </c>
      <c r="L80" s="606"/>
      <c r="M80" s="606"/>
      <c r="N80" s="606"/>
      <c r="O80" s="606"/>
      <c r="P80" s="636"/>
      <c r="Q80" s="606"/>
      <c r="R80" s="637"/>
      <c r="S80" s="617">
        <f>SUM(R81:R84)</f>
        <v>35000000</v>
      </c>
      <c r="T80" s="358"/>
    </row>
    <row r="81" spans="1:20" s="39" customFormat="1" ht="16.350000000000001" customHeight="1" x14ac:dyDescent="0.3">
      <c r="A81" s="139"/>
      <c r="B81" s="459"/>
      <c r="C81" s="460"/>
      <c r="D81" s="461"/>
      <c r="E81" s="461"/>
      <c r="F81" s="461"/>
      <c r="G81" s="462"/>
      <c r="H81" s="462"/>
      <c r="I81" s="462"/>
      <c r="J81" s="641"/>
      <c r="K81" s="607" t="s">
        <v>797</v>
      </c>
      <c r="L81" s="608"/>
      <c r="M81" s="608"/>
      <c r="N81" s="608"/>
      <c r="O81" s="608"/>
      <c r="P81" s="609"/>
      <c r="Q81" s="608"/>
      <c r="R81" s="626"/>
      <c r="S81" s="643"/>
      <c r="T81" s="463"/>
    </row>
    <row r="82" spans="1:20" s="39" customFormat="1" ht="16.350000000000001" customHeight="1" x14ac:dyDescent="0.3">
      <c r="A82" s="139"/>
      <c r="B82" s="459"/>
      <c r="C82" s="460"/>
      <c r="D82" s="461"/>
      <c r="E82" s="461"/>
      <c r="F82" s="461"/>
      <c r="G82" s="462"/>
      <c r="H82" s="462"/>
      <c r="I82" s="462"/>
      <c r="J82" s="641"/>
      <c r="K82" s="621" t="s">
        <v>783</v>
      </c>
      <c r="L82" s="642"/>
      <c r="M82" s="642"/>
      <c r="N82" s="642"/>
      <c r="O82" s="642"/>
      <c r="P82" s="642" t="s">
        <v>796</v>
      </c>
      <c r="Q82" s="623" t="s">
        <v>98</v>
      </c>
      <c r="R82" s="637">
        <v>5000000</v>
      </c>
      <c r="S82" s="643"/>
      <c r="T82" s="463"/>
    </row>
    <row r="83" spans="1:20" s="39" customFormat="1" ht="16.350000000000001" customHeight="1" x14ac:dyDescent="0.3">
      <c r="A83" s="139"/>
      <c r="B83" s="459"/>
      <c r="C83" s="460"/>
      <c r="D83" s="461"/>
      <c r="E83" s="461"/>
      <c r="F83" s="461"/>
      <c r="G83" s="462"/>
      <c r="H83" s="462"/>
      <c r="I83" s="462"/>
      <c r="J83" s="641"/>
      <c r="K83" s="621" t="s">
        <v>371</v>
      </c>
      <c r="L83" s="642"/>
      <c r="M83" s="642"/>
      <c r="N83" s="642"/>
      <c r="O83" s="642"/>
      <c r="P83" s="642"/>
      <c r="Q83" s="623" t="s">
        <v>98</v>
      </c>
      <c r="R83" s="637">
        <v>5000000</v>
      </c>
      <c r="S83" s="643"/>
      <c r="T83" s="463"/>
    </row>
    <row r="84" spans="1:20" s="39" customFormat="1" ht="16.350000000000001" customHeight="1" x14ac:dyDescent="0.3">
      <c r="A84" s="139"/>
      <c r="B84" s="459"/>
      <c r="C84" s="460"/>
      <c r="D84" s="461"/>
      <c r="E84" s="461"/>
      <c r="F84" s="461"/>
      <c r="G84" s="462"/>
      <c r="H84" s="462"/>
      <c r="I84" s="462"/>
      <c r="J84" s="641"/>
      <c r="K84" s="621" t="s">
        <v>32</v>
      </c>
      <c r="L84" s="642"/>
      <c r="M84" s="642"/>
      <c r="N84" s="642"/>
      <c r="O84" s="642"/>
      <c r="P84" s="642" t="s">
        <v>795</v>
      </c>
      <c r="Q84" s="623" t="s">
        <v>98</v>
      </c>
      <c r="R84" s="637">
        <v>25000000</v>
      </c>
      <c r="S84" s="643"/>
      <c r="T84" s="463"/>
    </row>
    <row r="85" spans="1:20" s="145" customFormat="1" ht="17.100000000000001" customHeight="1" x14ac:dyDescent="0.3">
      <c r="A85" s="143"/>
      <c r="B85" s="48"/>
      <c r="C85" s="60"/>
      <c r="D85" s="42"/>
      <c r="E85" s="176" t="s">
        <v>619</v>
      </c>
      <c r="F85" s="177"/>
      <c r="G85" s="49">
        <f>G86+G88</f>
        <v>0</v>
      </c>
      <c r="H85" s="49">
        <f t="shared" ref="H85:I85" si="5">H86+H88</f>
        <v>0</v>
      </c>
      <c r="I85" s="49">
        <f t="shared" si="5"/>
        <v>0</v>
      </c>
      <c r="J85" s="631"/>
      <c r="K85" s="631"/>
      <c r="L85" s="631"/>
      <c r="M85" s="631"/>
      <c r="N85" s="631"/>
      <c r="O85" s="631"/>
      <c r="P85" s="632"/>
      <c r="Q85" s="631"/>
      <c r="R85" s="633"/>
      <c r="S85" s="634"/>
      <c r="T85" s="155"/>
    </row>
    <row r="86" spans="1:20" s="145" customFormat="1" ht="17.100000000000001" customHeight="1" x14ac:dyDescent="0.3">
      <c r="A86" s="143"/>
      <c r="B86" s="48"/>
      <c r="C86" s="60"/>
      <c r="D86" s="42"/>
      <c r="E86" s="42"/>
      <c r="F86" s="182" t="s">
        <v>199</v>
      </c>
      <c r="G86" s="183">
        <f>S86</f>
        <v>0</v>
      </c>
      <c r="H86" s="183">
        <v>0</v>
      </c>
      <c r="I86" s="183">
        <f>G86-H86</f>
        <v>0</v>
      </c>
      <c r="J86" s="667"/>
      <c r="K86" s="668"/>
      <c r="L86" s="669"/>
      <c r="M86" s="669"/>
      <c r="N86" s="669"/>
      <c r="O86" s="669"/>
      <c r="P86" s="670"/>
      <c r="Q86" s="669"/>
      <c r="R86" s="671"/>
      <c r="S86" s="638"/>
      <c r="T86" s="152"/>
    </row>
    <row r="87" spans="1:20" s="39" customFormat="1" ht="17.100000000000001" customHeight="1" x14ac:dyDescent="0.3">
      <c r="A87" s="139"/>
      <c r="B87" s="48"/>
      <c r="C87" s="60"/>
      <c r="D87" s="42"/>
      <c r="E87" s="42"/>
      <c r="F87" s="42" t="s">
        <v>631</v>
      </c>
      <c r="G87" s="43"/>
      <c r="H87" s="43"/>
      <c r="I87" s="43"/>
      <c r="J87" s="644"/>
      <c r="K87" s="635"/>
      <c r="L87" s="606"/>
      <c r="M87" s="606"/>
      <c r="N87" s="606"/>
      <c r="O87" s="606"/>
      <c r="P87" s="636"/>
      <c r="Q87" s="606"/>
      <c r="R87" s="637"/>
      <c r="S87" s="610"/>
      <c r="T87" s="153"/>
    </row>
    <row r="88" spans="1:20" s="145" customFormat="1" ht="17.100000000000001" customHeight="1" x14ac:dyDescent="0.3">
      <c r="A88" s="143"/>
      <c r="B88" s="48"/>
      <c r="C88" s="60"/>
      <c r="D88" s="42"/>
      <c r="E88" s="42"/>
      <c r="F88" s="182" t="s">
        <v>156</v>
      </c>
      <c r="G88" s="183">
        <f>S88</f>
        <v>0</v>
      </c>
      <c r="H88" s="183">
        <v>0</v>
      </c>
      <c r="I88" s="183">
        <f>G88-H88</f>
        <v>0</v>
      </c>
      <c r="J88" s="667"/>
      <c r="K88" s="668"/>
      <c r="L88" s="669"/>
      <c r="M88" s="669"/>
      <c r="N88" s="669"/>
      <c r="O88" s="669"/>
      <c r="P88" s="670"/>
      <c r="Q88" s="669"/>
      <c r="R88" s="671"/>
      <c r="S88" s="638"/>
      <c r="T88" s="152"/>
    </row>
    <row r="89" spans="1:20" s="39" customFormat="1" ht="17.100000000000001" customHeight="1" x14ac:dyDescent="0.3">
      <c r="A89" s="139"/>
      <c r="B89" s="48"/>
      <c r="C89" s="60"/>
      <c r="D89" s="42"/>
      <c r="E89" s="42"/>
      <c r="F89" s="42" t="s">
        <v>181</v>
      </c>
      <c r="G89" s="43"/>
      <c r="H89" s="43"/>
      <c r="I89" s="43"/>
      <c r="J89" s="644"/>
      <c r="K89" s="635"/>
      <c r="L89" s="606"/>
      <c r="M89" s="606"/>
      <c r="N89" s="606"/>
      <c r="O89" s="606"/>
      <c r="P89" s="636"/>
      <c r="Q89" s="606"/>
      <c r="R89" s="637"/>
      <c r="S89" s="610"/>
      <c r="T89" s="153"/>
    </row>
    <row r="90" spans="1:20" s="145" customFormat="1" ht="17.100000000000001" customHeight="1" x14ac:dyDescent="0.3">
      <c r="A90" s="143"/>
      <c r="B90" s="48"/>
      <c r="C90" s="60"/>
      <c r="D90" s="42"/>
      <c r="E90" s="176" t="s">
        <v>563</v>
      </c>
      <c r="F90" s="177"/>
      <c r="G90" s="49">
        <f>G91</f>
        <v>100000000</v>
      </c>
      <c r="H90" s="49">
        <f>H91</f>
        <v>100000000</v>
      </c>
      <c r="I90" s="49">
        <f>G90-H90</f>
        <v>0</v>
      </c>
      <c r="J90" s="631"/>
      <c r="K90" s="631"/>
      <c r="L90" s="631"/>
      <c r="M90" s="631"/>
      <c r="N90" s="631"/>
      <c r="O90" s="631"/>
      <c r="P90" s="632"/>
      <c r="Q90" s="631"/>
      <c r="R90" s="633"/>
      <c r="S90" s="634"/>
      <c r="T90" s="155"/>
    </row>
    <row r="91" spans="1:20" s="145" customFormat="1" ht="17.100000000000001" customHeight="1" x14ac:dyDescent="0.3">
      <c r="A91" s="143"/>
      <c r="B91" s="48"/>
      <c r="C91" s="60"/>
      <c r="D91" s="42"/>
      <c r="E91" s="42"/>
      <c r="F91" s="182" t="s">
        <v>171</v>
      </c>
      <c r="G91" s="183">
        <f>S91</f>
        <v>100000000</v>
      </c>
      <c r="H91" s="183">
        <v>100000000</v>
      </c>
      <c r="I91" s="183">
        <f>G91-H91</f>
        <v>0</v>
      </c>
      <c r="J91" s="667" t="s">
        <v>125</v>
      </c>
      <c r="K91" s="668" t="s">
        <v>561</v>
      </c>
      <c r="L91" s="669"/>
      <c r="M91" s="669"/>
      <c r="N91" s="669"/>
      <c r="O91" s="669"/>
      <c r="P91" s="670"/>
      <c r="Q91" s="669"/>
      <c r="R91" s="671"/>
      <c r="S91" s="638">
        <f>S92</f>
        <v>100000000</v>
      </c>
      <c r="T91" s="152"/>
    </row>
    <row r="92" spans="1:20" s="39" customFormat="1" ht="17.100000000000001" customHeight="1" x14ac:dyDescent="0.3">
      <c r="A92" s="139"/>
      <c r="B92" s="48"/>
      <c r="C92" s="60"/>
      <c r="D92" s="42"/>
      <c r="E92" s="42"/>
      <c r="F92" s="351" t="s">
        <v>617</v>
      </c>
      <c r="G92" s="43"/>
      <c r="H92" s="43"/>
      <c r="I92" s="43"/>
      <c r="J92" s="567" t="s">
        <v>66</v>
      </c>
      <c r="K92" s="635" t="s">
        <v>142</v>
      </c>
      <c r="L92" s="606"/>
      <c r="M92" s="606"/>
      <c r="N92" s="606"/>
      <c r="O92" s="606"/>
      <c r="P92" s="636"/>
      <c r="Q92" s="606"/>
      <c r="R92" s="637"/>
      <c r="S92" s="610">
        <f>SUM(R93:R93)</f>
        <v>100000000</v>
      </c>
      <c r="T92" s="153"/>
    </row>
    <row r="93" spans="1:20" s="149" customFormat="1" ht="17.100000000000001" customHeight="1" x14ac:dyDescent="0.3">
      <c r="B93" s="188"/>
      <c r="C93" s="189"/>
      <c r="D93" s="190"/>
      <c r="E93" s="352"/>
      <c r="F93" s="191"/>
      <c r="G93" s="192"/>
      <c r="H93" s="192"/>
      <c r="I93" s="192"/>
      <c r="J93" s="606"/>
      <c r="K93" s="673" t="s">
        <v>397</v>
      </c>
      <c r="L93" s="673"/>
      <c r="M93" s="673"/>
      <c r="N93" s="673"/>
      <c r="O93" s="673"/>
      <c r="P93" s="674"/>
      <c r="Q93" s="675" t="s">
        <v>98</v>
      </c>
      <c r="R93" s="676">
        <v>100000000</v>
      </c>
      <c r="S93" s="616"/>
      <c r="T93" s="153"/>
    </row>
    <row r="94" spans="1:20" s="151" customFormat="1" ht="15.95" customHeight="1" x14ac:dyDescent="0.3">
      <c r="A94" s="150"/>
      <c r="B94" s="48"/>
      <c r="C94" s="60"/>
      <c r="D94" s="42"/>
      <c r="E94" s="176" t="s">
        <v>615</v>
      </c>
      <c r="F94" s="177"/>
      <c r="G94" s="49">
        <f>G95</f>
        <v>0</v>
      </c>
      <c r="H94" s="49">
        <f>H95</f>
        <v>0</v>
      </c>
      <c r="I94" s="49">
        <f>G94-H94</f>
        <v>0</v>
      </c>
      <c r="J94" s="631"/>
      <c r="K94" s="631"/>
      <c r="L94" s="631"/>
      <c r="M94" s="631"/>
      <c r="N94" s="631"/>
      <c r="O94" s="631"/>
      <c r="P94" s="632"/>
      <c r="Q94" s="631"/>
      <c r="R94" s="633"/>
      <c r="S94" s="634"/>
      <c r="T94" s="155"/>
    </row>
    <row r="95" spans="1:20" s="151" customFormat="1" ht="16.350000000000001" customHeight="1" x14ac:dyDescent="0.3">
      <c r="A95" s="150"/>
      <c r="B95" s="48"/>
      <c r="C95" s="60"/>
      <c r="D95" s="42"/>
      <c r="E95" s="42"/>
      <c r="F95" s="182" t="s">
        <v>203</v>
      </c>
      <c r="G95" s="183">
        <f>S95</f>
        <v>0</v>
      </c>
      <c r="H95" s="183">
        <v>0</v>
      </c>
      <c r="I95" s="183">
        <f>G95-H95</f>
        <v>0</v>
      </c>
      <c r="J95" s="667"/>
      <c r="K95" s="668"/>
      <c r="L95" s="669"/>
      <c r="M95" s="669"/>
      <c r="N95" s="669"/>
      <c r="O95" s="669"/>
      <c r="P95" s="670"/>
      <c r="Q95" s="669"/>
      <c r="R95" s="671"/>
      <c r="S95" s="638"/>
      <c r="T95" s="152"/>
    </row>
    <row r="96" spans="1:20" s="149" customFormat="1" ht="17.100000000000001" customHeight="1" x14ac:dyDescent="0.3">
      <c r="B96" s="188"/>
      <c r="C96" s="189"/>
      <c r="D96" s="190"/>
      <c r="E96" s="190"/>
      <c r="F96" s="42" t="s">
        <v>220</v>
      </c>
      <c r="G96" s="192"/>
      <c r="H96" s="192"/>
      <c r="I96" s="192"/>
      <c r="J96" s="644"/>
      <c r="K96" s="607"/>
      <c r="L96" s="608"/>
      <c r="M96" s="608"/>
      <c r="N96" s="608"/>
      <c r="O96" s="608"/>
      <c r="P96" s="609"/>
      <c r="Q96" s="608"/>
      <c r="R96" s="609"/>
      <c r="S96" s="616"/>
      <c r="T96" s="154"/>
    </row>
    <row r="97" spans="1:20" s="145" customFormat="1" ht="15.95" customHeight="1" x14ac:dyDescent="0.3">
      <c r="A97" s="143"/>
      <c r="B97" s="48"/>
      <c r="C97" s="42"/>
      <c r="D97" s="53" t="s">
        <v>679</v>
      </c>
      <c r="E97" s="176"/>
      <c r="F97" s="177"/>
      <c r="G97" s="49">
        <f>G98+G101</f>
        <v>0</v>
      </c>
      <c r="H97" s="49">
        <f t="shared" ref="H97:I97" si="6">H98+H101</f>
        <v>0</v>
      </c>
      <c r="I97" s="49">
        <f t="shared" si="6"/>
        <v>0</v>
      </c>
      <c r="J97" s="631"/>
      <c r="K97" s="631"/>
      <c r="L97" s="631"/>
      <c r="M97" s="631"/>
      <c r="N97" s="631"/>
      <c r="O97" s="631"/>
      <c r="P97" s="632"/>
      <c r="Q97" s="631"/>
      <c r="R97" s="633"/>
      <c r="S97" s="634"/>
      <c r="T97" s="147"/>
    </row>
    <row r="98" spans="1:20" s="145" customFormat="1" ht="16.5" customHeight="1" x14ac:dyDescent="0.3">
      <c r="A98" s="143"/>
      <c r="B98" s="48"/>
      <c r="C98" s="60"/>
      <c r="D98" s="42"/>
      <c r="E98" s="178" t="s">
        <v>692</v>
      </c>
      <c r="F98" s="179"/>
      <c r="G98" s="62">
        <f>G99</f>
        <v>0</v>
      </c>
      <c r="H98" s="62">
        <f>H99</f>
        <v>0</v>
      </c>
      <c r="I98" s="62">
        <f>I99</f>
        <v>0</v>
      </c>
      <c r="J98" s="678"/>
      <c r="K98" s="678"/>
      <c r="L98" s="678"/>
      <c r="M98" s="678"/>
      <c r="N98" s="678"/>
      <c r="O98" s="678"/>
      <c r="P98" s="679"/>
      <c r="Q98" s="678"/>
      <c r="R98" s="672"/>
      <c r="S98" s="680"/>
      <c r="T98" s="148"/>
    </row>
    <row r="99" spans="1:20" s="145" customFormat="1" ht="16.5" customHeight="1" x14ac:dyDescent="0.3">
      <c r="A99" s="143"/>
      <c r="B99" s="48"/>
      <c r="C99" s="60"/>
      <c r="D99" s="42"/>
      <c r="E99" s="182"/>
      <c r="F99" s="182" t="s">
        <v>173</v>
      </c>
      <c r="G99" s="183">
        <f>S99</f>
        <v>0</v>
      </c>
      <c r="H99" s="183">
        <v>0</v>
      </c>
      <c r="I99" s="183">
        <f>G99-H99</f>
        <v>0</v>
      </c>
      <c r="J99" s="681"/>
      <c r="K99" s="682"/>
      <c r="L99" s="683"/>
      <c r="M99" s="683"/>
      <c r="N99" s="683"/>
      <c r="O99" s="683"/>
      <c r="P99" s="684"/>
      <c r="Q99" s="683"/>
      <c r="R99" s="684"/>
      <c r="S99" s="685"/>
      <c r="T99" s="152"/>
    </row>
    <row r="100" spans="1:20" s="145" customFormat="1" ht="16.5" customHeight="1" x14ac:dyDescent="0.3">
      <c r="A100" s="143"/>
      <c r="B100" s="48"/>
      <c r="C100" s="60"/>
      <c r="D100" s="42"/>
      <c r="E100" s="42"/>
      <c r="F100" s="42" t="s">
        <v>167</v>
      </c>
      <c r="G100" s="43"/>
      <c r="H100" s="43"/>
      <c r="I100" s="43"/>
      <c r="J100" s="606"/>
      <c r="K100" s="673"/>
      <c r="L100" s="673"/>
      <c r="M100" s="673"/>
      <c r="N100" s="673"/>
      <c r="O100" s="673"/>
      <c r="P100" s="674"/>
      <c r="Q100" s="675"/>
      <c r="R100" s="676"/>
      <c r="S100" s="609"/>
      <c r="T100" s="153"/>
    </row>
    <row r="101" spans="1:20" s="145" customFormat="1" ht="16.5" customHeight="1" x14ac:dyDescent="0.3">
      <c r="A101" s="143"/>
      <c r="B101" s="48"/>
      <c r="C101" s="60"/>
      <c r="D101" s="42"/>
      <c r="E101" s="176" t="s">
        <v>683</v>
      </c>
      <c r="F101" s="177"/>
      <c r="G101" s="49">
        <f>G102</f>
        <v>0</v>
      </c>
      <c r="H101" s="49">
        <f>H102</f>
        <v>0</v>
      </c>
      <c r="I101" s="49">
        <f>I102</f>
        <v>0</v>
      </c>
      <c r="J101" s="631"/>
      <c r="K101" s="631"/>
      <c r="L101" s="631"/>
      <c r="M101" s="631"/>
      <c r="N101" s="631"/>
      <c r="O101" s="631"/>
      <c r="P101" s="632"/>
      <c r="Q101" s="631"/>
      <c r="R101" s="633"/>
      <c r="S101" s="634"/>
      <c r="T101" s="147"/>
    </row>
    <row r="102" spans="1:20" s="145" customFormat="1" ht="16.5" customHeight="1" x14ac:dyDescent="0.3">
      <c r="A102" s="143"/>
      <c r="B102" s="48"/>
      <c r="C102" s="60"/>
      <c r="D102" s="42"/>
      <c r="E102" s="182"/>
      <c r="F102" s="182" t="s">
        <v>159</v>
      </c>
      <c r="G102" s="183">
        <f>S102</f>
        <v>0</v>
      </c>
      <c r="H102" s="183">
        <v>0</v>
      </c>
      <c r="I102" s="183">
        <f>G102-H102</f>
        <v>0</v>
      </c>
      <c r="J102" s="681"/>
      <c r="K102" s="682"/>
      <c r="L102" s="683"/>
      <c r="M102" s="683"/>
      <c r="N102" s="683"/>
      <c r="O102" s="683"/>
      <c r="P102" s="684"/>
      <c r="Q102" s="683"/>
      <c r="R102" s="684"/>
      <c r="S102" s="685"/>
      <c r="T102" s="152"/>
    </row>
    <row r="103" spans="1:20" s="145" customFormat="1" ht="16.5" customHeight="1" x14ac:dyDescent="0.3">
      <c r="A103" s="143"/>
      <c r="B103" s="48"/>
      <c r="C103" s="60"/>
      <c r="D103" s="42"/>
      <c r="E103" s="42"/>
      <c r="F103" s="42" t="s">
        <v>146</v>
      </c>
      <c r="G103" s="43"/>
      <c r="H103" s="43"/>
      <c r="I103" s="43"/>
      <c r="J103" s="606"/>
      <c r="K103" s="673"/>
      <c r="L103" s="673"/>
      <c r="M103" s="673"/>
      <c r="N103" s="673"/>
      <c r="O103" s="673"/>
      <c r="P103" s="674"/>
      <c r="Q103" s="675"/>
      <c r="R103" s="676"/>
      <c r="S103" s="609"/>
      <c r="T103" s="153"/>
    </row>
    <row r="104" spans="1:20" s="145" customFormat="1" ht="18" customHeight="1" x14ac:dyDescent="0.3">
      <c r="A104" s="143"/>
      <c r="B104" s="48"/>
      <c r="C104" s="167" t="s">
        <v>637</v>
      </c>
      <c r="D104" s="168"/>
      <c r="E104" s="169"/>
      <c r="F104" s="170"/>
      <c r="G104" s="171">
        <f>G105+G117</f>
        <v>4000000000</v>
      </c>
      <c r="H104" s="171">
        <f t="shared" ref="H104:I104" si="7">H105+H117</f>
        <v>3410000000</v>
      </c>
      <c r="I104" s="171">
        <f t="shared" si="7"/>
        <v>590000000</v>
      </c>
      <c r="J104" s="686"/>
      <c r="K104" s="686"/>
      <c r="L104" s="686"/>
      <c r="M104" s="686"/>
      <c r="N104" s="686"/>
      <c r="O104" s="686"/>
      <c r="P104" s="687"/>
      <c r="Q104" s="686"/>
      <c r="R104" s="688"/>
      <c r="S104" s="689"/>
      <c r="T104" s="156"/>
    </row>
    <row r="105" spans="1:20" s="149" customFormat="1" ht="18" customHeight="1" x14ac:dyDescent="0.3">
      <c r="B105" s="198"/>
      <c r="C105" s="227"/>
      <c r="D105" s="208" t="s">
        <v>620</v>
      </c>
      <c r="E105" s="209"/>
      <c r="F105" s="210"/>
      <c r="G105" s="211">
        <f>G106+G109</f>
        <v>4000000000</v>
      </c>
      <c r="H105" s="211">
        <f t="shared" ref="H105:I105" si="8">H106+H109</f>
        <v>3410000000</v>
      </c>
      <c r="I105" s="211">
        <f t="shared" si="8"/>
        <v>590000000</v>
      </c>
      <c r="J105" s="690"/>
      <c r="K105" s="690"/>
      <c r="L105" s="690"/>
      <c r="M105" s="690"/>
      <c r="N105" s="690"/>
      <c r="O105" s="690"/>
      <c r="P105" s="691"/>
      <c r="Q105" s="690"/>
      <c r="R105" s="692"/>
      <c r="S105" s="690"/>
      <c r="T105" s="157"/>
    </row>
    <row r="106" spans="1:20" s="149" customFormat="1" ht="18" customHeight="1" x14ac:dyDescent="0.3">
      <c r="B106" s="198"/>
      <c r="C106" s="227"/>
      <c r="D106" s="199"/>
      <c r="E106" s="2011" t="s">
        <v>635</v>
      </c>
      <c r="F106" s="2012"/>
      <c r="G106" s="211">
        <f t="shared" ref="G106:I106" si="9">G107</f>
        <v>0</v>
      </c>
      <c r="H106" s="211">
        <f>H107</f>
        <v>0</v>
      </c>
      <c r="I106" s="211">
        <f t="shared" si="9"/>
        <v>0</v>
      </c>
      <c r="J106" s="690"/>
      <c r="K106" s="690"/>
      <c r="L106" s="690"/>
      <c r="M106" s="690"/>
      <c r="N106" s="690"/>
      <c r="O106" s="690"/>
      <c r="P106" s="691"/>
      <c r="Q106" s="690"/>
      <c r="R106" s="692"/>
      <c r="S106" s="690"/>
      <c r="T106" s="158"/>
    </row>
    <row r="107" spans="1:20" s="149" customFormat="1" ht="18" customHeight="1" x14ac:dyDescent="0.3">
      <c r="B107" s="198"/>
      <c r="C107" s="227"/>
      <c r="D107" s="212"/>
      <c r="E107" s="213"/>
      <c r="F107" s="214" t="s">
        <v>194</v>
      </c>
      <c r="G107" s="215">
        <f>S107</f>
        <v>0</v>
      </c>
      <c r="H107" s="215">
        <v>0</v>
      </c>
      <c r="I107" s="215">
        <f>G107-H107</f>
        <v>0</v>
      </c>
      <c r="J107" s="693"/>
      <c r="K107" s="694"/>
      <c r="L107" s="695"/>
      <c r="M107" s="669"/>
      <c r="N107" s="669"/>
      <c r="O107" s="669"/>
      <c r="P107" s="670"/>
      <c r="Q107" s="669"/>
      <c r="R107" s="671"/>
      <c r="S107" s="638"/>
      <c r="T107" s="159"/>
    </row>
    <row r="108" spans="1:20" s="145" customFormat="1" ht="18" customHeight="1" x14ac:dyDescent="0.3">
      <c r="B108" s="48"/>
      <c r="C108" s="60"/>
      <c r="D108" s="42"/>
      <c r="E108" s="42"/>
      <c r="F108" s="212" t="s">
        <v>540</v>
      </c>
      <c r="G108" s="43"/>
      <c r="H108" s="43"/>
      <c r="I108" s="43"/>
      <c r="J108" s="645"/>
      <c r="K108" s="1992"/>
      <c r="L108" s="1992"/>
      <c r="M108" s="1992"/>
      <c r="N108" s="1992"/>
      <c r="O108" s="1992"/>
      <c r="P108" s="1992"/>
      <c r="Q108" s="696"/>
      <c r="R108" s="696"/>
      <c r="S108" s="697"/>
      <c r="T108" s="153"/>
    </row>
    <row r="109" spans="1:20" s="149" customFormat="1" ht="18" customHeight="1" x14ac:dyDescent="0.3">
      <c r="B109" s="198"/>
      <c r="C109" s="227"/>
      <c r="D109" s="199"/>
      <c r="E109" s="2013" t="s">
        <v>479</v>
      </c>
      <c r="F109" s="2014"/>
      <c r="G109" s="211">
        <f>G110</f>
        <v>4000000000</v>
      </c>
      <c r="H109" s="211">
        <f>H110</f>
        <v>3410000000</v>
      </c>
      <c r="I109" s="211">
        <f>I110</f>
        <v>590000000</v>
      </c>
      <c r="J109" s="690"/>
      <c r="K109" s="690"/>
      <c r="L109" s="690"/>
      <c r="M109" s="690"/>
      <c r="N109" s="690"/>
      <c r="O109" s="690"/>
      <c r="P109" s="691"/>
      <c r="Q109" s="690"/>
      <c r="R109" s="692"/>
      <c r="S109" s="690"/>
      <c r="T109" s="158"/>
    </row>
    <row r="110" spans="1:20" s="149" customFormat="1" ht="18" customHeight="1" x14ac:dyDescent="0.3">
      <c r="B110" s="198"/>
      <c r="C110" s="227"/>
      <c r="D110" s="212"/>
      <c r="E110" s="213"/>
      <c r="F110" s="214" t="s">
        <v>229</v>
      </c>
      <c r="G110" s="215">
        <f>S110</f>
        <v>4000000000</v>
      </c>
      <c r="H110" s="215">
        <v>3410000000</v>
      </c>
      <c r="I110" s="215">
        <f>G110-H110</f>
        <v>590000000</v>
      </c>
      <c r="J110" s="693" t="s">
        <v>125</v>
      </c>
      <c r="K110" s="694" t="s">
        <v>778</v>
      </c>
      <c r="L110" s="695"/>
      <c r="M110" s="695"/>
      <c r="N110" s="695"/>
      <c r="O110" s="695"/>
      <c r="P110" s="698"/>
      <c r="Q110" s="695"/>
      <c r="R110" s="699"/>
      <c r="S110" s="638">
        <f>S111+S114</f>
        <v>4000000000</v>
      </c>
      <c r="T110" s="159"/>
    </row>
    <row r="111" spans="1:20" s="537" customFormat="1" ht="18" customHeight="1" x14ac:dyDescent="0.3">
      <c r="B111" s="198"/>
      <c r="C111" s="227"/>
      <c r="D111" s="212"/>
      <c r="E111" s="199"/>
      <c r="F111" s="212" t="s">
        <v>641</v>
      </c>
      <c r="G111" s="200"/>
      <c r="H111" s="200"/>
      <c r="I111" s="216"/>
      <c r="J111" s="570" t="s">
        <v>66</v>
      </c>
      <c r="K111" s="1992" t="s">
        <v>79</v>
      </c>
      <c r="L111" s="1992"/>
      <c r="M111" s="1992"/>
      <c r="N111" s="1992"/>
      <c r="O111" s="1992"/>
      <c r="P111" s="1992"/>
      <c r="Q111" s="615"/>
      <c r="R111" s="614"/>
      <c r="S111" s="697">
        <f>SUM(R112:R113)</f>
        <v>2000000000</v>
      </c>
      <c r="T111" s="158"/>
    </row>
    <row r="112" spans="1:20" s="149" customFormat="1" ht="18" customHeight="1" x14ac:dyDescent="0.3">
      <c r="B112" s="198"/>
      <c r="C112" s="227"/>
      <c r="D112" s="212"/>
      <c r="E112" s="199"/>
      <c r="F112" s="212"/>
      <c r="G112" s="200"/>
      <c r="H112" s="200"/>
      <c r="I112" s="216"/>
      <c r="J112" s="567"/>
      <c r="K112" s="607" t="s">
        <v>279</v>
      </c>
      <c r="L112" s="608"/>
      <c r="M112" s="608"/>
      <c r="N112" s="608"/>
      <c r="O112" s="608"/>
      <c r="P112" s="609"/>
      <c r="Q112" s="608"/>
      <c r="R112" s="626"/>
      <c r="S112" s="626"/>
      <c r="T112" s="158"/>
    </row>
    <row r="113" spans="1:25" s="145" customFormat="1" ht="15.95" customHeight="1" x14ac:dyDescent="0.3">
      <c r="B113" s="48"/>
      <c r="C113" s="60"/>
      <c r="D113" s="42"/>
      <c r="E113" s="42"/>
      <c r="F113" s="42"/>
      <c r="G113" s="43"/>
      <c r="H113" s="43"/>
      <c r="I113" s="43"/>
      <c r="J113" s="612"/>
      <c r="K113" s="673" t="s">
        <v>25</v>
      </c>
      <c r="L113" s="608"/>
      <c r="M113" s="608"/>
      <c r="N113" s="608"/>
      <c r="O113" s="608"/>
      <c r="P113" s="700"/>
      <c r="Q113" s="623" t="s">
        <v>98</v>
      </c>
      <c r="R113" s="609">
        <v>2000000000</v>
      </c>
      <c r="S113" s="1626"/>
      <c r="T113" s="153"/>
    </row>
    <row r="114" spans="1:25" s="47" customFormat="1" ht="16.5" customHeight="1" x14ac:dyDescent="0.3">
      <c r="A114" s="141"/>
      <c r="B114" s="1624"/>
      <c r="C114" s="1625"/>
      <c r="D114" s="1625"/>
      <c r="E114" s="199"/>
      <c r="F114" s="212"/>
      <c r="G114" s="200"/>
      <c r="H114" s="200"/>
      <c r="I114" s="216"/>
      <c r="J114" s="570" t="s">
        <v>66</v>
      </c>
      <c r="K114" s="1992" t="s">
        <v>69</v>
      </c>
      <c r="L114" s="1992"/>
      <c r="M114" s="1992"/>
      <c r="N114" s="1992"/>
      <c r="O114" s="1992"/>
      <c r="P114" s="1992"/>
      <c r="Q114" s="615"/>
      <c r="R114" s="614"/>
      <c r="S114" s="697">
        <f>SUM(R115:R116)</f>
        <v>2000000000</v>
      </c>
      <c r="T114" s="158"/>
    </row>
    <row r="115" spans="1:25" s="149" customFormat="1" ht="17.45" customHeight="1" x14ac:dyDescent="0.3">
      <c r="B115" s="198"/>
      <c r="C115" s="227"/>
      <c r="D115" s="212"/>
      <c r="E115" s="199"/>
      <c r="F115" s="212"/>
      <c r="G115" s="200"/>
      <c r="H115" s="200"/>
      <c r="I115" s="216"/>
      <c r="J115" s="567"/>
      <c r="K115" s="607" t="s">
        <v>279</v>
      </c>
      <c r="L115" s="608"/>
      <c r="M115" s="608"/>
      <c r="N115" s="608"/>
      <c r="O115" s="608"/>
      <c r="P115" s="609"/>
      <c r="Q115" s="608"/>
      <c r="R115" s="626"/>
      <c r="S115" s="609"/>
      <c r="T115" s="158"/>
    </row>
    <row r="116" spans="1:25" s="145" customFormat="1" ht="15.95" customHeight="1" x14ac:dyDescent="0.3">
      <c r="B116" s="48"/>
      <c r="C116" s="42"/>
      <c r="D116" s="42"/>
      <c r="E116" s="42"/>
      <c r="F116" s="42"/>
      <c r="G116" s="43"/>
      <c r="H116" s="43"/>
      <c r="I116" s="43"/>
      <c r="J116" s="612"/>
      <c r="K116" s="673" t="s">
        <v>26</v>
      </c>
      <c r="L116" s="608"/>
      <c r="M116" s="608"/>
      <c r="N116" s="608"/>
      <c r="O116" s="608"/>
      <c r="P116" s="700"/>
      <c r="Q116" s="623" t="s">
        <v>98</v>
      </c>
      <c r="R116" s="609">
        <v>2000000000</v>
      </c>
      <c r="S116" s="906"/>
      <c r="T116" s="153"/>
    </row>
    <row r="117" spans="1:25" s="145" customFormat="1" ht="15.95" customHeight="1" x14ac:dyDescent="0.3">
      <c r="A117" s="143"/>
      <c r="B117" s="48"/>
      <c r="C117" s="42"/>
      <c r="D117" s="53" t="s">
        <v>742</v>
      </c>
      <c r="E117" s="176"/>
      <c r="F117" s="177"/>
      <c r="G117" s="49">
        <f>G118</f>
        <v>0</v>
      </c>
      <c r="H117" s="49">
        <f t="shared" ref="H117:I117" si="10">H118</f>
        <v>0</v>
      </c>
      <c r="I117" s="49">
        <f t="shared" si="10"/>
        <v>0</v>
      </c>
      <c r="J117" s="46"/>
      <c r="K117" s="46"/>
      <c r="L117" s="46"/>
      <c r="M117" s="46"/>
      <c r="N117" s="46"/>
      <c r="O117" s="46"/>
      <c r="P117" s="50"/>
      <c r="Q117" s="46"/>
      <c r="R117" s="51"/>
      <c r="S117" s="52"/>
      <c r="T117" s="147"/>
    </row>
    <row r="118" spans="1:25" s="145" customFormat="1" ht="16.5" customHeight="1" x14ac:dyDescent="0.3">
      <c r="A118" s="143"/>
      <c r="B118" s="48"/>
      <c r="C118" s="60"/>
      <c r="D118" s="42"/>
      <c r="E118" s="178" t="s">
        <v>735</v>
      </c>
      <c r="F118" s="179"/>
      <c r="G118" s="62">
        <f>G119</f>
        <v>0</v>
      </c>
      <c r="H118" s="62">
        <f t="shared" ref="H118:I118" si="11">H119</f>
        <v>0</v>
      </c>
      <c r="I118" s="62">
        <f t="shared" si="11"/>
        <v>0</v>
      </c>
      <c r="J118" s="63"/>
      <c r="K118" s="63"/>
      <c r="L118" s="63"/>
      <c r="M118" s="63"/>
      <c r="N118" s="63"/>
      <c r="O118" s="63"/>
      <c r="P118" s="180"/>
      <c r="Q118" s="63"/>
      <c r="R118" s="64"/>
      <c r="S118" s="181"/>
      <c r="T118" s="148"/>
    </row>
    <row r="119" spans="1:25" s="40" customFormat="1" ht="16.5" customHeight="1" x14ac:dyDescent="0.3">
      <c r="A119" s="451"/>
      <c r="B119" s="48"/>
      <c r="C119" s="60"/>
      <c r="D119" s="42"/>
      <c r="E119" s="182"/>
      <c r="F119" s="182" t="s">
        <v>253</v>
      </c>
      <c r="G119" s="183">
        <f>S119</f>
        <v>0</v>
      </c>
      <c r="H119" s="183">
        <v>0</v>
      </c>
      <c r="I119" s="452">
        <f>G119-H119</f>
        <v>0</v>
      </c>
      <c r="J119" s="193"/>
      <c r="K119" s="187"/>
      <c r="L119" s="184"/>
      <c r="M119" s="184"/>
      <c r="N119" s="184"/>
      <c r="O119" s="184"/>
      <c r="P119" s="185"/>
      <c r="Q119" s="184"/>
      <c r="R119" s="185"/>
      <c r="S119" s="186"/>
      <c r="T119" s="357"/>
      <c r="X119" s="453"/>
      <c r="Y119" s="453"/>
    </row>
    <row r="120" spans="1:25" s="145" customFormat="1" ht="16.5" customHeight="1" x14ac:dyDescent="0.3">
      <c r="B120" s="48"/>
      <c r="C120" s="60"/>
      <c r="D120" s="42"/>
      <c r="E120" s="42"/>
      <c r="F120" s="42" t="s">
        <v>274</v>
      </c>
      <c r="G120" s="43"/>
      <c r="H120" s="43"/>
      <c r="I120" s="43"/>
      <c r="J120" s="606"/>
      <c r="K120" s="607"/>
      <c r="L120" s="608"/>
      <c r="M120" s="608"/>
      <c r="N120" s="608"/>
      <c r="O120" s="608"/>
      <c r="P120" s="609"/>
      <c r="Q120" s="608"/>
      <c r="R120" s="609"/>
      <c r="S120" s="610"/>
      <c r="T120" s="153"/>
    </row>
    <row r="121" spans="1:25" s="40" customFormat="1" ht="16.5" customHeight="1" x14ac:dyDescent="0.3">
      <c r="A121" s="451"/>
      <c r="B121" s="233"/>
      <c r="C121" s="206"/>
      <c r="D121" s="207"/>
      <c r="E121" s="207"/>
      <c r="F121" s="206" t="s">
        <v>236</v>
      </c>
      <c r="G121" s="234"/>
      <c r="H121" s="234"/>
      <c r="I121" s="234"/>
      <c r="J121" s="701"/>
      <c r="K121" s="702"/>
      <c r="L121" s="652"/>
      <c r="M121" s="652"/>
      <c r="N121" s="701"/>
      <c r="O121" s="701"/>
      <c r="P121" s="701"/>
      <c r="Q121" s="701"/>
      <c r="R121" s="703"/>
      <c r="S121" s="656"/>
      <c r="T121" s="704"/>
      <c r="X121" s="454"/>
      <c r="Y121" s="455"/>
    </row>
  </sheetData>
  <mergeCells count="34">
    <mergeCell ref="K56:O56"/>
    <mergeCell ref="K45:P45"/>
    <mergeCell ref="K43:P43"/>
    <mergeCell ref="E106:F106"/>
    <mergeCell ref="E109:F109"/>
    <mergeCell ref="K42:P42"/>
    <mergeCell ref="K47:P47"/>
    <mergeCell ref="K51:P51"/>
    <mergeCell ref="K53:P53"/>
    <mergeCell ref="K67:P67"/>
    <mergeCell ref="K78:P78"/>
    <mergeCell ref="K69:O69"/>
    <mergeCell ref="K75:P75"/>
    <mergeCell ref="K48:P48"/>
    <mergeCell ref="K61:P61"/>
    <mergeCell ref="K64:P64"/>
    <mergeCell ref="K66:P66"/>
    <mergeCell ref="K55:O55"/>
    <mergeCell ref="K46:P46"/>
    <mergeCell ref="K111:P111"/>
    <mergeCell ref="K114:P114"/>
    <mergeCell ref="B1:T1"/>
    <mergeCell ref="B3:F3"/>
    <mergeCell ref="J3:T4"/>
    <mergeCell ref="B5:F5"/>
    <mergeCell ref="K41:P41"/>
    <mergeCell ref="K30:O30"/>
    <mergeCell ref="K31:O31"/>
    <mergeCell ref="B6:F6"/>
    <mergeCell ref="K32:O32"/>
    <mergeCell ref="K33:O33"/>
    <mergeCell ref="K34:O34"/>
    <mergeCell ref="K108:P108"/>
    <mergeCell ref="K44:P44"/>
  </mergeCells>
  <phoneticPr fontId="53" type="noConversion"/>
  <printOptions horizontalCentered="1"/>
  <pageMargins left="0.27541667222976685" right="0.27541667222976685" top="0.74750000238418579" bottom="0.59041666984558105" header="0.43291667103767395" footer="0.31486111879348755"/>
  <pageSetup paperSize="9" scale="91" fitToHeight="0" orientation="landscape" r:id="rId1"/>
  <rowBreaks count="2" manualBreakCount="2">
    <brk id="84" max="1048575" man="1"/>
    <brk id="108" max="1048575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FF0000"/>
  </sheetPr>
  <dimension ref="A1:AH340"/>
  <sheetViews>
    <sheetView showGridLines="0" tabSelected="1" view="pageBreakPreview" zoomScale="120" zoomScaleNormal="100" zoomScaleSheetLayoutView="120" workbookViewId="0">
      <pane xSplit="1" ySplit="11" topLeftCell="B12" activePane="bottomRight" state="frozen"/>
      <selection pane="topRight"/>
      <selection pane="bottomLeft"/>
      <selection pane="bottomRight" activeCell="H5" sqref="H5"/>
    </sheetView>
  </sheetViews>
  <sheetFormatPr defaultColWidth="9" defaultRowHeight="12" x14ac:dyDescent="0.3"/>
  <cols>
    <col min="1" max="1" width="1.375" style="6" customWidth="1"/>
    <col min="2" max="4" width="1.875" style="6" customWidth="1"/>
    <col min="5" max="5" width="1.875" style="19" customWidth="1"/>
    <col min="6" max="6" width="2.125" style="6" customWidth="1"/>
    <col min="7" max="7" width="24.75" style="6" customWidth="1"/>
    <col min="8" max="8" width="14.25" style="252" bestFit="1" customWidth="1"/>
    <col min="9" max="9" width="13.25" style="252" bestFit="1" customWidth="1"/>
    <col min="10" max="10" width="12.125" style="252" customWidth="1"/>
    <col min="11" max="11" width="2" style="79" customWidth="1"/>
    <col min="12" max="12" width="10.375" style="79" customWidth="1"/>
    <col min="13" max="13" width="5.75" style="79" customWidth="1"/>
    <col min="14" max="14" width="12.125" style="247" customWidth="1"/>
    <col min="15" max="15" width="2.625" style="248" customWidth="1"/>
    <col min="16" max="16" width="13" style="247" customWidth="1"/>
    <col min="17" max="17" width="2.625" style="249" customWidth="1"/>
    <col min="18" max="18" width="9.5" style="248" customWidth="1"/>
    <col min="19" max="19" width="2.625" style="249" customWidth="1"/>
    <col min="20" max="20" width="8.625" style="249" customWidth="1"/>
    <col min="21" max="21" width="2.625" style="249" customWidth="1"/>
    <col min="22" max="22" width="12.625" style="247" customWidth="1"/>
    <col min="23" max="23" width="16" style="246" customWidth="1"/>
    <col min="24" max="24" width="1.25" style="296" customWidth="1"/>
    <col min="25" max="25" width="1.625" style="6" customWidth="1"/>
    <col min="26" max="26" width="33" style="6" customWidth="1"/>
    <col min="27" max="27" width="16.25" style="6" customWidth="1"/>
    <col min="28" max="28" width="16.125" style="6" bestFit="1" customWidth="1"/>
    <col min="29" max="39" width="9" style="6"/>
    <col min="40" max="40" width="9.125" style="6" bestFit="1" customWidth="1"/>
    <col min="41" max="16384" width="9" style="6"/>
  </cols>
  <sheetData>
    <row r="1" spans="1:26" ht="19.7" customHeight="1" x14ac:dyDescent="0.3">
      <c r="A1" s="23"/>
      <c r="B1" s="2027"/>
      <c r="C1" s="2027"/>
      <c r="D1" s="2027"/>
      <c r="E1" s="2027"/>
      <c r="F1" s="2027"/>
      <c r="G1" s="2027"/>
      <c r="H1" s="2027"/>
      <c r="I1" s="2027"/>
      <c r="J1" s="2027"/>
      <c r="K1" s="2027"/>
      <c r="L1" s="2027"/>
      <c r="M1" s="2027"/>
      <c r="N1" s="2027"/>
      <c r="O1" s="2027"/>
      <c r="P1" s="2027"/>
      <c r="Q1" s="2027"/>
      <c r="R1" s="2027"/>
      <c r="S1" s="2027"/>
      <c r="T1" s="2027"/>
      <c r="U1" s="2027"/>
      <c r="V1" s="2027"/>
      <c r="W1" s="2027"/>
      <c r="X1" s="2027"/>
      <c r="Y1" s="18"/>
    </row>
    <row r="2" spans="1:26" ht="14.25" customHeight="1" x14ac:dyDescent="0.3">
      <c r="A2" s="23"/>
      <c r="B2" s="24"/>
      <c r="C2" s="24"/>
      <c r="D2" s="24"/>
      <c r="E2" s="26"/>
      <c r="F2" s="24"/>
      <c r="G2" s="25"/>
      <c r="H2" s="253"/>
      <c r="I2" s="253"/>
      <c r="J2" s="254" t="s">
        <v>639</v>
      </c>
      <c r="K2" s="126"/>
      <c r="L2" s="126"/>
      <c r="M2" s="126"/>
      <c r="N2" s="255"/>
      <c r="O2" s="256"/>
      <c r="P2" s="255"/>
      <c r="Q2" s="257"/>
      <c r="R2" s="256"/>
      <c r="S2" s="257"/>
      <c r="T2" s="257"/>
      <c r="U2" s="257"/>
      <c r="V2" s="255"/>
      <c r="W2" s="258" t="s">
        <v>23</v>
      </c>
      <c r="X2" s="126"/>
      <c r="Y2" s="18"/>
    </row>
    <row r="3" spans="1:26" ht="27.75" customHeight="1" x14ac:dyDescent="0.3">
      <c r="A3" s="23"/>
      <c r="B3" s="2028"/>
      <c r="C3" s="2029"/>
      <c r="D3" s="2029"/>
      <c r="E3" s="2029"/>
      <c r="F3" s="2029"/>
      <c r="G3" s="2030"/>
      <c r="H3" s="259" t="s">
        <v>270</v>
      </c>
      <c r="I3" s="260" t="s">
        <v>633</v>
      </c>
      <c r="J3" s="261" t="s">
        <v>225</v>
      </c>
      <c r="K3" s="2031" t="s">
        <v>423</v>
      </c>
      <c r="L3" s="2032"/>
      <c r="M3" s="2032"/>
      <c r="N3" s="2032"/>
      <c r="O3" s="2032"/>
      <c r="P3" s="2032"/>
      <c r="Q3" s="2032"/>
      <c r="R3" s="2032"/>
      <c r="S3" s="2032"/>
      <c r="T3" s="2032"/>
      <c r="U3" s="2032"/>
      <c r="V3" s="2032"/>
      <c r="W3" s="2032"/>
      <c r="X3" s="2033"/>
      <c r="Y3" s="18"/>
    </row>
    <row r="4" spans="1:26" ht="24.95" customHeight="1" x14ac:dyDescent="0.3">
      <c r="A4" s="23"/>
      <c r="B4" s="240" t="s">
        <v>112</v>
      </c>
      <c r="C4" s="30" t="s">
        <v>73</v>
      </c>
      <c r="D4" s="30" t="s">
        <v>123</v>
      </c>
      <c r="E4" s="31" t="s">
        <v>77</v>
      </c>
      <c r="F4" s="30" t="s">
        <v>70</v>
      </c>
      <c r="G4" s="22" t="s">
        <v>72</v>
      </c>
      <c r="H4" s="262" t="s">
        <v>109</v>
      </c>
      <c r="I4" s="263" t="s">
        <v>63</v>
      </c>
      <c r="J4" s="264" t="s">
        <v>291</v>
      </c>
      <c r="K4" s="2034"/>
      <c r="L4" s="2035"/>
      <c r="M4" s="2035"/>
      <c r="N4" s="2035"/>
      <c r="O4" s="2035"/>
      <c r="P4" s="2035"/>
      <c r="Q4" s="2035"/>
      <c r="R4" s="2035"/>
      <c r="S4" s="2035"/>
      <c r="T4" s="2035"/>
      <c r="U4" s="2035"/>
      <c r="V4" s="2035"/>
      <c r="W4" s="2035"/>
      <c r="X4" s="2036"/>
      <c r="Y4" s="18"/>
    </row>
    <row r="5" spans="1:26" s="20" customFormat="1" ht="23.45" customHeight="1" x14ac:dyDescent="0.3">
      <c r="A5" s="21"/>
      <c r="B5" s="2037" t="s">
        <v>613</v>
      </c>
      <c r="C5" s="2038"/>
      <c r="D5" s="2038"/>
      <c r="E5" s="2038"/>
      <c r="F5" s="2038"/>
      <c r="G5" s="2039"/>
      <c r="H5" s="996">
        <f>SUM(H6:H11)</f>
        <v>4797520000</v>
      </c>
      <c r="I5" s="265">
        <f t="shared" ref="I5:J5" si="0">SUM(I6:I11)</f>
        <v>5492303000</v>
      </c>
      <c r="J5" s="265">
        <f t="shared" si="0"/>
        <v>-694783000</v>
      </c>
      <c r="K5" s="266"/>
      <c r="L5" s="267"/>
      <c r="M5" s="267"/>
      <c r="N5" s="268"/>
      <c r="O5" s="269"/>
      <c r="P5" s="268"/>
      <c r="Q5" s="270"/>
      <c r="R5" s="269"/>
      <c r="S5" s="270"/>
      <c r="T5" s="270"/>
      <c r="U5" s="270"/>
      <c r="V5" s="268"/>
      <c r="W5" s="271"/>
      <c r="X5" s="272"/>
    </row>
    <row r="6" spans="1:26" s="20" customFormat="1" ht="16.350000000000001" customHeight="1" x14ac:dyDescent="0.3">
      <c r="A6" s="21"/>
      <c r="B6" s="241" t="s">
        <v>484</v>
      </c>
      <c r="C6" s="38"/>
      <c r="D6" s="38"/>
      <c r="E6" s="38"/>
      <c r="F6" s="38"/>
      <c r="G6" s="38"/>
      <c r="H6" s="273">
        <f>H12</f>
        <v>4265000000</v>
      </c>
      <c r="I6" s="273">
        <f t="shared" ref="I6:J6" si="1">I12</f>
        <v>5033143000</v>
      </c>
      <c r="J6" s="273">
        <f t="shared" si="1"/>
        <v>-768143000</v>
      </c>
      <c r="K6" s="274"/>
      <c r="L6" s="275"/>
      <c r="M6" s="275"/>
      <c r="N6" s="276"/>
      <c r="O6" s="276"/>
      <c r="P6" s="276"/>
      <c r="Q6" s="275"/>
      <c r="R6" s="276"/>
      <c r="S6" s="275"/>
      <c r="T6" s="275"/>
      <c r="U6" s="275"/>
      <c r="V6" s="277"/>
      <c r="W6" s="278"/>
      <c r="X6" s="279"/>
    </row>
    <row r="7" spans="1:26" s="20" customFormat="1" ht="16.350000000000001" customHeight="1" x14ac:dyDescent="0.3">
      <c r="A7" s="21"/>
      <c r="B7" s="242" t="s">
        <v>490</v>
      </c>
      <c r="C7" s="34"/>
      <c r="D7" s="34"/>
      <c r="E7" s="34"/>
      <c r="F7" s="34"/>
      <c r="G7" s="34"/>
      <c r="H7" s="280">
        <f>H111</f>
        <v>0</v>
      </c>
      <c r="I7" s="280">
        <f t="shared" ref="I7:J7" si="2">I111</f>
        <v>0</v>
      </c>
      <c r="J7" s="280">
        <f t="shared" si="2"/>
        <v>0</v>
      </c>
      <c r="K7" s="281"/>
      <c r="L7" s="282"/>
      <c r="M7" s="283"/>
      <c r="N7" s="284"/>
      <c r="O7" s="284"/>
      <c r="P7" s="284"/>
      <c r="Q7" s="283"/>
      <c r="R7" s="284"/>
      <c r="S7" s="283"/>
      <c r="T7" s="283"/>
      <c r="U7" s="283"/>
      <c r="V7" s="285"/>
      <c r="W7" s="286"/>
      <c r="X7" s="287"/>
    </row>
    <row r="8" spans="1:26" s="20" customFormat="1" ht="16.350000000000001" customHeight="1" x14ac:dyDescent="0.3">
      <c r="A8" s="21"/>
      <c r="B8" s="243" t="s">
        <v>470</v>
      </c>
      <c r="C8" s="35"/>
      <c r="D8" s="35"/>
      <c r="E8" s="35"/>
      <c r="F8" s="35"/>
      <c r="G8" s="36"/>
      <c r="H8" s="288">
        <f>H112</f>
        <v>463280000</v>
      </c>
      <c r="I8" s="288">
        <f t="shared" ref="I8:J8" si="3">I112</f>
        <v>381160000</v>
      </c>
      <c r="J8" s="288">
        <f t="shared" si="3"/>
        <v>82120000</v>
      </c>
      <c r="K8" s="289"/>
      <c r="L8" s="290"/>
      <c r="M8" s="291"/>
      <c r="N8" s="292"/>
      <c r="O8" s="292"/>
      <c r="P8" s="292"/>
      <c r="Q8" s="291"/>
      <c r="R8" s="292"/>
      <c r="S8" s="291"/>
      <c r="T8" s="291"/>
      <c r="U8" s="291"/>
      <c r="V8" s="293"/>
      <c r="W8" s="294"/>
      <c r="X8" s="295"/>
    </row>
    <row r="9" spans="1:26" s="20" customFormat="1" ht="16.350000000000001" customHeight="1" x14ac:dyDescent="0.3">
      <c r="A9" s="21"/>
      <c r="B9" s="243" t="s">
        <v>452</v>
      </c>
      <c r="C9" s="35"/>
      <c r="D9" s="35"/>
      <c r="E9" s="35"/>
      <c r="F9" s="35"/>
      <c r="G9" s="36"/>
      <c r="H9" s="288">
        <f>H254</f>
        <v>47900000</v>
      </c>
      <c r="I9" s="288">
        <f t="shared" ref="I9:J9" si="4">I254</f>
        <v>62000000</v>
      </c>
      <c r="J9" s="288">
        <f t="shared" si="4"/>
        <v>-14100000</v>
      </c>
      <c r="K9" s="289"/>
      <c r="L9" s="290"/>
      <c r="M9" s="291"/>
      <c r="N9" s="292"/>
      <c r="O9" s="292"/>
      <c r="P9" s="292"/>
      <c r="Q9" s="291"/>
      <c r="R9" s="292"/>
      <c r="S9" s="291"/>
      <c r="T9" s="291"/>
      <c r="U9" s="291"/>
      <c r="V9" s="293"/>
      <c r="W9" s="294"/>
      <c r="X9" s="295"/>
    </row>
    <row r="10" spans="1:26" s="20" customFormat="1" ht="16.350000000000001" customHeight="1" x14ac:dyDescent="0.3">
      <c r="A10" s="21"/>
      <c r="B10" s="243" t="s">
        <v>488</v>
      </c>
      <c r="C10" s="35"/>
      <c r="D10" s="35"/>
      <c r="E10" s="35"/>
      <c r="F10" s="35"/>
      <c r="G10" s="36"/>
      <c r="H10" s="288">
        <f>H299</f>
        <v>0</v>
      </c>
      <c r="I10" s="288">
        <f t="shared" ref="I10:J10" si="5">I299</f>
        <v>0</v>
      </c>
      <c r="J10" s="288">
        <f t="shared" si="5"/>
        <v>0</v>
      </c>
      <c r="K10" s="289"/>
      <c r="L10" s="290"/>
      <c r="M10" s="291"/>
      <c r="N10" s="292"/>
      <c r="O10" s="292"/>
      <c r="P10" s="292"/>
      <c r="Q10" s="291"/>
      <c r="R10" s="292"/>
      <c r="S10" s="291"/>
      <c r="T10" s="291"/>
      <c r="U10" s="291"/>
      <c r="V10" s="293"/>
      <c r="W10" s="294"/>
      <c r="X10" s="295"/>
    </row>
    <row r="11" spans="1:26" s="20" customFormat="1" ht="16.350000000000001" customHeight="1" x14ac:dyDescent="0.3">
      <c r="A11" s="21"/>
      <c r="B11" s="243" t="s">
        <v>467</v>
      </c>
      <c r="C11" s="35"/>
      <c r="D11" s="35"/>
      <c r="E11" s="35"/>
      <c r="F11" s="35"/>
      <c r="G11" s="36"/>
      <c r="H11" s="288">
        <f>H300</f>
        <v>21340000</v>
      </c>
      <c r="I11" s="288">
        <f t="shared" ref="I11:J11" si="6">I300</f>
        <v>16000000</v>
      </c>
      <c r="J11" s="288">
        <f t="shared" si="6"/>
        <v>5340000</v>
      </c>
      <c r="K11" s="289"/>
      <c r="L11" s="290"/>
      <c r="M11" s="291"/>
      <c r="N11" s="292"/>
      <c r="O11" s="292"/>
      <c r="P11" s="292"/>
      <c r="Q11" s="291"/>
      <c r="R11" s="292"/>
      <c r="S11" s="291"/>
      <c r="T11" s="291"/>
      <c r="U11" s="291"/>
      <c r="V11" s="293"/>
      <c r="W11" s="294"/>
      <c r="X11" s="295"/>
    </row>
    <row r="12" spans="1:26" s="66" customFormat="1" ht="16.350000000000001" customHeight="1" x14ac:dyDescent="0.3">
      <c r="B12" s="715" t="s">
        <v>630</v>
      </c>
      <c r="C12" s="494"/>
      <c r="D12" s="494"/>
      <c r="E12" s="494"/>
      <c r="F12" s="494"/>
      <c r="G12" s="494"/>
      <c r="H12" s="716">
        <f>H13+H24+H51+H84+H108+H109+H110</f>
        <v>4265000000</v>
      </c>
      <c r="I12" s="716">
        <f>I13+I24+I51+I84+I108+I109+I110</f>
        <v>5033143000</v>
      </c>
      <c r="J12" s="716">
        <f>H12-I12</f>
        <v>-768143000</v>
      </c>
      <c r="K12" s="717"/>
      <c r="L12" s="718"/>
      <c r="M12" s="718"/>
      <c r="N12" s="719"/>
      <c r="O12" s="719"/>
      <c r="P12" s="719"/>
      <c r="Q12" s="718"/>
      <c r="R12" s="719"/>
      <c r="S12" s="718"/>
      <c r="T12" s="718"/>
      <c r="U12" s="718"/>
      <c r="V12" s="720"/>
      <c r="W12" s="721"/>
      <c r="X12" s="722"/>
    </row>
    <row r="13" spans="1:26" s="539" customFormat="1" ht="16.350000000000001" customHeight="1" x14ac:dyDescent="0.3">
      <c r="B13" s="2016" t="s">
        <v>770</v>
      </c>
      <c r="C13" s="2017"/>
      <c r="D13" s="2017"/>
      <c r="E13" s="2017"/>
      <c r="F13" s="2017"/>
      <c r="G13" s="2018"/>
      <c r="H13" s="762">
        <f>H14</f>
        <v>4000000000</v>
      </c>
      <c r="I13" s="762">
        <f>I14</f>
        <v>3000000000</v>
      </c>
      <c r="J13" s="762">
        <f>H13-I13</f>
        <v>1000000000</v>
      </c>
      <c r="K13" s="763"/>
      <c r="L13" s="764"/>
      <c r="M13" s="764"/>
      <c r="N13" s="765"/>
      <c r="O13" s="765"/>
      <c r="P13" s="765"/>
      <c r="Q13" s="764"/>
      <c r="R13" s="765"/>
      <c r="S13" s="764"/>
      <c r="T13" s="764"/>
      <c r="U13" s="764"/>
      <c r="V13" s="766"/>
      <c r="W13" s="767"/>
      <c r="X13" s="768"/>
    </row>
    <row r="14" spans="1:26" s="539" customFormat="1" ht="16.350000000000001" customHeight="1" x14ac:dyDescent="0.3">
      <c r="B14" s="769"/>
      <c r="C14" s="770" t="s">
        <v>546</v>
      </c>
      <c r="D14" s="771"/>
      <c r="E14" s="772"/>
      <c r="F14" s="772"/>
      <c r="G14" s="773"/>
      <c r="H14" s="774">
        <f>H15</f>
        <v>4000000000</v>
      </c>
      <c r="I14" s="774">
        <f t="shared" ref="I14:J17" si="7">I15</f>
        <v>3000000000</v>
      </c>
      <c r="J14" s="774">
        <f t="shared" si="7"/>
        <v>-2000000000</v>
      </c>
      <c r="K14" s="775"/>
      <c r="L14" s="776"/>
      <c r="M14" s="776"/>
      <c r="N14" s="776"/>
      <c r="O14" s="776"/>
      <c r="P14" s="776"/>
      <c r="Q14" s="776"/>
      <c r="R14" s="777"/>
      <c r="S14" s="778"/>
      <c r="T14" s="778"/>
      <c r="U14" s="778"/>
      <c r="V14" s="779"/>
      <c r="W14" s="780"/>
      <c r="X14" s="781"/>
      <c r="Z14" s="541"/>
    </row>
    <row r="15" spans="1:26" s="539" customFormat="1" ht="16.350000000000001" customHeight="1" x14ac:dyDescent="0.3">
      <c r="B15" s="769"/>
      <c r="C15" s="782"/>
      <c r="D15" s="770" t="s">
        <v>542</v>
      </c>
      <c r="E15" s="772"/>
      <c r="F15" s="772"/>
      <c r="G15" s="773"/>
      <c r="H15" s="774">
        <f>H16+H20</f>
        <v>4000000000</v>
      </c>
      <c r="I15" s="774">
        <f t="shared" si="7"/>
        <v>3000000000</v>
      </c>
      <c r="J15" s="774">
        <f t="shared" si="7"/>
        <v>-2000000000</v>
      </c>
      <c r="K15" s="775"/>
      <c r="L15" s="776"/>
      <c r="M15" s="776"/>
      <c r="N15" s="776"/>
      <c r="O15" s="776"/>
      <c r="P15" s="776"/>
      <c r="Q15" s="776"/>
      <c r="R15" s="777"/>
      <c r="S15" s="778"/>
      <c r="T15" s="778"/>
      <c r="U15" s="778"/>
      <c r="V15" s="779"/>
      <c r="W15" s="780"/>
      <c r="X15" s="781"/>
      <c r="Z15" s="541"/>
    </row>
    <row r="16" spans="1:26" s="539" customFormat="1" ht="16.350000000000001" customHeight="1" x14ac:dyDescent="0.3">
      <c r="B16" s="769"/>
      <c r="C16" s="783"/>
      <c r="D16" s="783"/>
      <c r="E16" s="784" t="s">
        <v>212</v>
      </c>
      <c r="F16" s="785"/>
      <c r="G16" s="786"/>
      <c r="H16" s="774">
        <f>H17</f>
        <v>1000000000</v>
      </c>
      <c r="I16" s="774">
        <f t="shared" si="7"/>
        <v>3000000000</v>
      </c>
      <c r="J16" s="774">
        <f t="shared" si="7"/>
        <v>-2000000000</v>
      </c>
      <c r="K16" s="775"/>
      <c r="L16" s="776"/>
      <c r="M16" s="776"/>
      <c r="N16" s="776"/>
      <c r="O16" s="776"/>
      <c r="P16" s="776"/>
      <c r="Q16" s="776"/>
      <c r="R16" s="777"/>
      <c r="S16" s="778"/>
      <c r="T16" s="778"/>
      <c r="U16" s="778"/>
      <c r="V16" s="779"/>
      <c r="W16" s="780"/>
      <c r="X16" s="781"/>
      <c r="Z16" s="541"/>
    </row>
    <row r="17" spans="1:26" s="539" customFormat="1" ht="16.350000000000001" customHeight="1" x14ac:dyDescent="0.3">
      <c r="B17" s="769"/>
      <c r="C17" s="787"/>
      <c r="D17" s="783"/>
      <c r="E17" s="787"/>
      <c r="F17" s="784" t="s">
        <v>49</v>
      </c>
      <c r="G17" s="786"/>
      <c r="H17" s="774">
        <f>H18</f>
        <v>1000000000</v>
      </c>
      <c r="I17" s="774">
        <f t="shared" si="7"/>
        <v>3000000000</v>
      </c>
      <c r="J17" s="774">
        <f t="shared" si="7"/>
        <v>-2000000000</v>
      </c>
      <c r="K17" s="775"/>
      <c r="L17" s="776"/>
      <c r="M17" s="776"/>
      <c r="N17" s="776"/>
      <c r="O17" s="776"/>
      <c r="P17" s="776"/>
      <c r="Q17" s="776"/>
      <c r="R17" s="777"/>
      <c r="S17" s="778"/>
      <c r="T17" s="778"/>
      <c r="U17" s="778"/>
      <c r="V17" s="779"/>
      <c r="W17" s="780"/>
      <c r="X17" s="781"/>
      <c r="Z17" s="541"/>
    </row>
    <row r="18" spans="1:26" s="539" customFormat="1" ht="16.350000000000001" customHeight="1" x14ac:dyDescent="0.3">
      <c r="B18" s="769"/>
      <c r="C18" s="787"/>
      <c r="D18" s="783"/>
      <c r="E18" s="788"/>
      <c r="F18" s="783"/>
      <c r="G18" s="789" t="s">
        <v>154</v>
      </c>
      <c r="H18" s="790">
        <v>1000000000</v>
      </c>
      <c r="I18" s="790">
        <v>3000000000</v>
      </c>
      <c r="J18" s="790">
        <f>H18-I18</f>
        <v>-2000000000</v>
      </c>
      <c r="K18" s="693" t="s">
        <v>125</v>
      </c>
      <c r="L18" s="694" t="s">
        <v>103</v>
      </c>
      <c r="M18" s="695"/>
      <c r="N18" s="737"/>
      <c r="O18" s="738"/>
      <c r="P18" s="737"/>
      <c r="Q18" s="739"/>
      <c r="R18" s="738"/>
      <c r="S18" s="739"/>
      <c r="T18" s="739"/>
      <c r="U18" s="739"/>
      <c r="V18" s="791"/>
      <c r="W18" s="792">
        <f>V19</f>
        <v>1000000000</v>
      </c>
      <c r="X18" s="793"/>
      <c r="Z18" s="541"/>
    </row>
    <row r="19" spans="1:26" s="539" customFormat="1" ht="16.350000000000001" customHeight="1" x14ac:dyDescent="0.3">
      <c r="B19" s="769"/>
      <c r="C19" s="787"/>
      <c r="D19" s="783"/>
      <c r="E19" s="788"/>
      <c r="F19" s="783"/>
      <c r="G19" s="794"/>
      <c r="H19" s="795"/>
      <c r="I19" s="795"/>
      <c r="J19" s="795"/>
      <c r="K19" s="796"/>
      <c r="L19" s="797" t="s">
        <v>204</v>
      </c>
      <c r="M19" s="798"/>
      <c r="N19" s="799"/>
      <c r="O19" s="740"/>
      <c r="P19" s="799">
        <v>1000000000</v>
      </c>
      <c r="Q19" s="740"/>
      <c r="R19" s="800"/>
      <c r="S19" s="740" t="s">
        <v>80</v>
      </c>
      <c r="T19" s="741">
        <v>1</v>
      </c>
      <c r="U19" s="740" t="s">
        <v>98</v>
      </c>
      <c r="V19" s="799">
        <f>P19*T19</f>
        <v>1000000000</v>
      </c>
      <c r="W19" s="801"/>
      <c r="X19" s="802"/>
      <c r="Z19" s="541"/>
    </row>
    <row r="20" spans="1:26" s="539" customFormat="1" ht="16.350000000000001" customHeight="1" x14ac:dyDescent="0.3">
      <c r="B20" s="769"/>
      <c r="C20" s="783"/>
      <c r="D20" s="783"/>
      <c r="E20" s="784" t="s">
        <v>612</v>
      </c>
      <c r="F20" s="785"/>
      <c r="G20" s="786"/>
      <c r="H20" s="774">
        <f>H21</f>
        <v>3000000000</v>
      </c>
      <c r="I20" s="774">
        <f t="shared" ref="I20:J21" si="8">I21</f>
        <v>0</v>
      </c>
      <c r="J20" s="774">
        <f t="shared" si="8"/>
        <v>3000000000</v>
      </c>
      <c r="K20" s="775"/>
      <c r="L20" s="776"/>
      <c r="M20" s="776"/>
      <c r="N20" s="776"/>
      <c r="O20" s="776"/>
      <c r="P20" s="776"/>
      <c r="Q20" s="776"/>
      <c r="R20" s="777"/>
      <c r="S20" s="778"/>
      <c r="T20" s="778"/>
      <c r="U20" s="778"/>
      <c r="V20" s="779"/>
      <c r="W20" s="780"/>
      <c r="X20" s="781"/>
      <c r="Z20" s="541"/>
    </row>
    <row r="21" spans="1:26" s="539" customFormat="1" ht="16.350000000000001" customHeight="1" x14ac:dyDescent="0.3">
      <c r="B21" s="769"/>
      <c r="C21" s="787"/>
      <c r="D21" s="783"/>
      <c r="E21" s="787"/>
      <c r="F21" s="784" t="s">
        <v>616</v>
      </c>
      <c r="G21" s="786"/>
      <c r="H21" s="774">
        <f>H22</f>
        <v>3000000000</v>
      </c>
      <c r="I21" s="774">
        <f t="shared" si="8"/>
        <v>0</v>
      </c>
      <c r="J21" s="774">
        <f t="shared" si="8"/>
        <v>3000000000</v>
      </c>
      <c r="K21" s="775"/>
      <c r="L21" s="776"/>
      <c r="M21" s="776"/>
      <c r="N21" s="776"/>
      <c r="O21" s="776"/>
      <c r="P21" s="776"/>
      <c r="Q21" s="776"/>
      <c r="R21" s="777"/>
      <c r="S21" s="778"/>
      <c r="T21" s="778"/>
      <c r="U21" s="778"/>
      <c r="V21" s="779"/>
      <c r="W21" s="780"/>
      <c r="X21" s="781"/>
      <c r="Z21" s="541"/>
    </row>
    <row r="22" spans="1:26" s="539" customFormat="1" ht="16.350000000000001" customHeight="1" x14ac:dyDescent="0.3">
      <c r="B22" s="769"/>
      <c r="C22" s="787"/>
      <c r="D22" s="783"/>
      <c r="E22" s="788"/>
      <c r="F22" s="783"/>
      <c r="G22" s="789" t="s">
        <v>649</v>
      </c>
      <c r="H22" s="790">
        <f>W22</f>
        <v>3000000000</v>
      </c>
      <c r="I22" s="790">
        <v>0</v>
      </c>
      <c r="J22" s="790">
        <f>H22-I22</f>
        <v>3000000000</v>
      </c>
      <c r="K22" s="693" t="s">
        <v>125</v>
      </c>
      <c r="L22" s="694" t="s">
        <v>195</v>
      </c>
      <c r="M22" s="695"/>
      <c r="N22" s="737"/>
      <c r="O22" s="738"/>
      <c r="P22" s="737"/>
      <c r="Q22" s="739"/>
      <c r="R22" s="738"/>
      <c r="S22" s="739"/>
      <c r="T22" s="739"/>
      <c r="U22" s="739"/>
      <c r="V22" s="791"/>
      <c r="W22" s="792">
        <f>V23</f>
        <v>3000000000</v>
      </c>
      <c r="X22" s="793"/>
      <c r="Z22" s="541"/>
    </row>
    <row r="23" spans="1:26" s="539" customFormat="1" ht="16.350000000000001" customHeight="1" x14ac:dyDescent="0.3">
      <c r="B23" s="769"/>
      <c r="C23" s="787"/>
      <c r="D23" s="783"/>
      <c r="E23" s="788"/>
      <c r="F23" s="783"/>
      <c r="G23" s="794"/>
      <c r="H23" s="795"/>
      <c r="I23" s="795"/>
      <c r="J23" s="795"/>
      <c r="K23" s="569"/>
      <c r="L23" s="797" t="s">
        <v>383</v>
      </c>
      <c r="M23" s="798"/>
      <c r="N23" s="799"/>
      <c r="O23" s="740"/>
      <c r="P23" s="799">
        <v>3000000000</v>
      </c>
      <c r="Q23" s="740"/>
      <c r="R23" s="800"/>
      <c r="S23" s="740" t="s">
        <v>80</v>
      </c>
      <c r="T23" s="741">
        <v>1</v>
      </c>
      <c r="U23" s="740" t="s">
        <v>98</v>
      </c>
      <c r="V23" s="799">
        <f>P23*T23</f>
        <v>3000000000</v>
      </c>
      <c r="W23" s="801"/>
      <c r="X23" s="802"/>
      <c r="Z23" s="541"/>
    </row>
    <row r="24" spans="1:26" s="539" customFormat="1" ht="16.350000000000001" customHeight="1" x14ac:dyDescent="0.3">
      <c r="A24" s="1651"/>
      <c r="B24" s="2016" t="s">
        <v>386</v>
      </c>
      <c r="C24" s="2017"/>
      <c r="D24" s="2017"/>
      <c r="E24" s="2017"/>
      <c r="F24" s="2017"/>
      <c r="G24" s="2018"/>
      <c r="H24" s="762">
        <f t="shared" ref="H24:J26" si="9">H25</f>
        <v>45000000</v>
      </c>
      <c r="I24" s="762">
        <f t="shared" si="9"/>
        <v>0</v>
      </c>
      <c r="J24" s="762">
        <f t="shared" si="9"/>
        <v>45000000</v>
      </c>
      <c r="K24" s="1652"/>
      <c r="L24" s="1653"/>
      <c r="M24" s="1653"/>
      <c r="N24" s="1654"/>
      <c r="O24" s="1654"/>
      <c r="P24" s="1654"/>
      <c r="Q24" s="1653"/>
      <c r="R24" s="1654"/>
      <c r="S24" s="1653"/>
      <c r="T24" s="1653"/>
      <c r="U24" s="1653"/>
      <c r="V24" s="1655"/>
      <c r="W24" s="1656"/>
      <c r="X24" s="1657"/>
    </row>
    <row r="25" spans="1:26" s="539" customFormat="1" ht="16.350000000000001" customHeight="1" x14ac:dyDescent="0.3">
      <c r="B25" s="832"/>
      <c r="C25" s="833" t="s">
        <v>538</v>
      </c>
      <c r="D25" s="1640"/>
      <c r="E25" s="1658"/>
      <c r="F25" s="1658"/>
      <c r="G25" s="1659"/>
      <c r="H25" s="834">
        <f t="shared" si="9"/>
        <v>45000000</v>
      </c>
      <c r="I25" s="834">
        <f t="shared" si="9"/>
        <v>0</v>
      </c>
      <c r="J25" s="834">
        <f t="shared" si="9"/>
        <v>45000000</v>
      </c>
      <c r="K25" s="116"/>
      <c r="L25" s="1660"/>
      <c r="M25" s="1660"/>
      <c r="N25" s="1661"/>
      <c r="O25" s="1662"/>
      <c r="P25" s="1661"/>
      <c r="Q25" s="1663"/>
      <c r="R25" s="1662"/>
      <c r="S25" s="1663"/>
      <c r="T25" s="1663"/>
      <c r="U25" s="1663"/>
      <c r="V25" s="1664"/>
      <c r="W25" s="1665"/>
      <c r="X25" s="80"/>
    </row>
    <row r="26" spans="1:26" s="541" customFormat="1" ht="16.350000000000001" customHeight="1" x14ac:dyDescent="0.3">
      <c r="B26" s="803"/>
      <c r="C26" s="805"/>
      <c r="D26" s="770" t="s">
        <v>643</v>
      </c>
      <c r="E26" s="772"/>
      <c r="F26" s="772"/>
      <c r="G26" s="773"/>
      <c r="H26" s="835">
        <f t="shared" si="9"/>
        <v>45000000</v>
      </c>
      <c r="I26" s="835">
        <f t="shared" si="9"/>
        <v>0</v>
      </c>
      <c r="J26" s="835">
        <f t="shared" si="9"/>
        <v>45000000</v>
      </c>
      <c r="K26" s="353"/>
      <c r="L26" s="98"/>
      <c r="M26" s="98"/>
      <c r="N26" s="1666"/>
      <c r="O26" s="1667"/>
      <c r="P26" s="1666"/>
      <c r="Q26" s="1668"/>
      <c r="R26" s="1667"/>
      <c r="S26" s="1668"/>
      <c r="T26" s="1668"/>
      <c r="U26" s="1668"/>
      <c r="V26" s="1669"/>
      <c r="W26" s="28"/>
      <c r="X26" s="897"/>
    </row>
    <row r="27" spans="1:26" s="541" customFormat="1" ht="16.350000000000001" customHeight="1" x14ac:dyDescent="0.3">
      <c r="B27" s="803"/>
      <c r="C27" s="782"/>
      <c r="D27" s="837"/>
      <c r="E27" s="770" t="s">
        <v>532</v>
      </c>
      <c r="F27" s="771"/>
      <c r="G27" s="838"/>
      <c r="H27" s="835">
        <f>H28+H33+H38+H41+H48</f>
        <v>45000000</v>
      </c>
      <c r="I27" s="835">
        <f>I28+I33+I38+I41+I48</f>
        <v>0</v>
      </c>
      <c r="J27" s="835">
        <f>H27-I27</f>
        <v>45000000</v>
      </c>
      <c r="K27" s="353"/>
      <c r="L27" s="1670"/>
      <c r="M27" s="109"/>
      <c r="N27" s="1671"/>
      <c r="O27" s="1672"/>
      <c r="P27" s="1671"/>
      <c r="Q27" s="1673"/>
      <c r="R27" s="1672"/>
      <c r="S27" s="1673"/>
      <c r="T27" s="1673"/>
      <c r="U27" s="1673"/>
      <c r="V27" s="29"/>
      <c r="W27" s="27"/>
      <c r="X27" s="93"/>
    </row>
    <row r="28" spans="1:26" s="541" customFormat="1" ht="16.350000000000001" customHeight="1" x14ac:dyDescent="0.3">
      <c r="B28" s="803"/>
      <c r="C28" s="782"/>
      <c r="D28" s="1658"/>
      <c r="E28" s="805"/>
      <c r="F28" s="806" t="s">
        <v>188</v>
      </c>
      <c r="G28" s="786"/>
      <c r="H28" s="790">
        <f>H29</f>
        <v>24000000</v>
      </c>
      <c r="I28" s="790">
        <f>I29</f>
        <v>0</v>
      </c>
      <c r="J28" s="790">
        <f>H28-I28</f>
        <v>24000000</v>
      </c>
      <c r="K28" s="353"/>
      <c r="L28" s="1670"/>
      <c r="M28" s="98"/>
      <c r="N28" s="1666"/>
      <c r="O28" s="1667"/>
      <c r="P28" s="1666"/>
      <c r="Q28" s="1668"/>
      <c r="R28" s="1667"/>
      <c r="S28" s="1668"/>
      <c r="T28" s="1668"/>
      <c r="U28" s="1668"/>
      <c r="V28" s="1669"/>
      <c r="W28" s="28"/>
      <c r="X28" s="93"/>
    </row>
    <row r="29" spans="1:26" s="541" customFormat="1" ht="16.350000000000001" customHeight="1" x14ac:dyDescent="0.3">
      <c r="B29" s="803"/>
      <c r="C29" s="782"/>
      <c r="D29" s="1658"/>
      <c r="E29" s="782"/>
      <c r="F29" s="815"/>
      <c r="G29" s="789" t="s">
        <v>364</v>
      </c>
      <c r="H29" s="790">
        <f>I29+W29</f>
        <v>24000000</v>
      </c>
      <c r="I29" s="790">
        <v>0</v>
      </c>
      <c r="J29" s="1636">
        <f t="shared" ref="J29:J36" si="10">H29-I29</f>
        <v>24000000</v>
      </c>
      <c r="K29" s="119" t="s">
        <v>125</v>
      </c>
      <c r="L29" s="1674" t="s">
        <v>40</v>
      </c>
      <c r="M29" s="1660"/>
      <c r="N29" s="1661"/>
      <c r="O29" s="1660"/>
      <c r="P29" s="1661"/>
      <c r="Q29" s="1660"/>
      <c r="R29" s="1660"/>
      <c r="S29" s="1660"/>
      <c r="T29" s="1660"/>
      <c r="U29" s="1660"/>
      <c r="V29" s="1661"/>
      <c r="W29" s="1675">
        <f>SUM(V30:V32)</f>
        <v>24000000</v>
      </c>
      <c r="X29" s="93"/>
    </row>
    <row r="30" spans="1:26" s="541" customFormat="1" ht="16.350000000000001" customHeight="1" x14ac:dyDescent="0.3">
      <c r="B30" s="803"/>
      <c r="C30" s="782"/>
      <c r="D30" s="1658"/>
      <c r="E30" s="782"/>
      <c r="F30" s="787"/>
      <c r="G30" s="783"/>
      <c r="H30" s="795"/>
      <c r="I30" s="795"/>
      <c r="J30" s="795"/>
      <c r="K30" s="125"/>
      <c r="L30" s="1676" t="s">
        <v>228</v>
      </c>
      <c r="M30" s="1677"/>
      <c r="N30" s="1680">
        <v>5000000</v>
      </c>
      <c r="O30" s="1681" t="s">
        <v>80</v>
      </c>
      <c r="P30" s="1682">
        <v>1</v>
      </c>
      <c r="Q30" s="1681" t="s">
        <v>80</v>
      </c>
      <c r="R30" s="1682">
        <v>12</v>
      </c>
      <c r="S30" s="1681" t="s">
        <v>80</v>
      </c>
      <c r="T30" s="1683">
        <v>0.1</v>
      </c>
      <c r="U30" s="1681" t="s">
        <v>98</v>
      </c>
      <c r="V30" s="1680">
        <f>N30*P30*R30*T30</f>
        <v>6000000</v>
      </c>
      <c r="W30" s="1665"/>
      <c r="X30" s="1678"/>
    </row>
    <row r="31" spans="1:26" s="541" customFormat="1" ht="16.350000000000001" customHeight="1" x14ac:dyDescent="0.3">
      <c r="B31" s="803"/>
      <c r="C31" s="782"/>
      <c r="D31" s="1658"/>
      <c r="E31" s="782"/>
      <c r="F31" s="787"/>
      <c r="G31" s="783"/>
      <c r="H31" s="795"/>
      <c r="I31" s="795"/>
      <c r="J31" s="795"/>
      <c r="K31" s="125"/>
      <c r="L31" s="1676" t="s">
        <v>245</v>
      </c>
      <c r="M31" s="1677"/>
      <c r="N31" s="1680">
        <v>4000000</v>
      </c>
      <c r="O31" s="1681" t="s">
        <v>80</v>
      </c>
      <c r="P31" s="1682">
        <v>2</v>
      </c>
      <c r="Q31" s="1681" t="s">
        <v>80</v>
      </c>
      <c r="R31" s="1682">
        <v>12</v>
      </c>
      <c r="S31" s="1681" t="s">
        <v>80</v>
      </c>
      <c r="T31" s="1683">
        <v>0.1</v>
      </c>
      <c r="U31" s="1681" t="s">
        <v>98</v>
      </c>
      <c r="V31" s="1680">
        <f>N31*P31*R31*T31</f>
        <v>9600000</v>
      </c>
      <c r="W31" s="1665"/>
      <c r="X31" s="1678"/>
    </row>
    <row r="32" spans="1:26" s="541" customFormat="1" ht="16.350000000000001" customHeight="1" x14ac:dyDescent="0.3">
      <c r="B32" s="803"/>
      <c r="C32" s="782"/>
      <c r="D32" s="1658"/>
      <c r="E32" s="782"/>
      <c r="F32" s="787"/>
      <c r="G32" s="783"/>
      <c r="H32" s="795"/>
      <c r="I32" s="795"/>
      <c r="J32" s="795"/>
      <c r="K32" s="125"/>
      <c r="L32" s="1676" t="s">
        <v>150</v>
      </c>
      <c r="M32" s="1677"/>
      <c r="N32" s="1680">
        <v>3500000</v>
      </c>
      <c r="O32" s="1681" t="s">
        <v>80</v>
      </c>
      <c r="P32" s="1682">
        <v>2</v>
      </c>
      <c r="Q32" s="1681" t="s">
        <v>80</v>
      </c>
      <c r="R32" s="1682">
        <v>12</v>
      </c>
      <c r="S32" s="1681" t="s">
        <v>80</v>
      </c>
      <c r="T32" s="1683">
        <v>0.1</v>
      </c>
      <c r="U32" s="1681" t="s">
        <v>98</v>
      </c>
      <c r="V32" s="1680">
        <f>N32*P32*R32*T32</f>
        <v>8400000</v>
      </c>
      <c r="W32" s="1665"/>
      <c r="X32" s="1678"/>
    </row>
    <row r="33" spans="2:26" s="539" customFormat="1" ht="16.350000000000001" customHeight="1" x14ac:dyDescent="0.3">
      <c r="B33" s="769"/>
      <c r="C33" s="783"/>
      <c r="D33" s="1650"/>
      <c r="E33" s="783"/>
      <c r="F33" s="784" t="s">
        <v>551</v>
      </c>
      <c r="G33" s="786"/>
      <c r="H33" s="774">
        <f>H34+H36</f>
        <v>2200000</v>
      </c>
      <c r="I33" s="774">
        <f>I36</f>
        <v>0</v>
      </c>
      <c r="J33" s="774">
        <f>H33-I33</f>
        <v>2200000</v>
      </c>
      <c r="K33" s="353"/>
      <c r="L33" s="98"/>
      <c r="M33" s="99"/>
      <c r="N33" s="102"/>
      <c r="O33" s="104"/>
      <c r="P33" s="102"/>
      <c r="Q33" s="105"/>
      <c r="R33" s="104"/>
      <c r="S33" s="105"/>
      <c r="T33" s="105"/>
      <c r="U33" s="105"/>
      <c r="V33" s="100"/>
      <c r="W33" s="28"/>
      <c r="X33" s="106"/>
      <c r="Z33" s="541"/>
    </row>
    <row r="34" spans="2:26" s="1631" customFormat="1" ht="16.350000000000001" customHeight="1" x14ac:dyDescent="0.3">
      <c r="B34" s="1684"/>
      <c r="C34" s="1641"/>
      <c r="D34" s="1685"/>
      <c r="E34" s="1641"/>
      <c r="F34" s="1633"/>
      <c r="G34" s="1630" t="s">
        <v>650</v>
      </c>
      <c r="H34" s="1634">
        <f>I34+W34</f>
        <v>500000</v>
      </c>
      <c r="I34" s="1634">
        <v>0</v>
      </c>
      <c r="J34" s="1634">
        <f>H34-I34</f>
        <v>500000</v>
      </c>
      <c r="K34" s="1686" t="s">
        <v>125</v>
      </c>
      <c r="L34" s="1687" t="s">
        <v>230</v>
      </c>
      <c r="M34" s="1688"/>
      <c r="N34" s="1689"/>
      <c r="O34" s="1690"/>
      <c r="P34" s="1691"/>
      <c r="Q34" s="1690"/>
      <c r="R34" s="1689"/>
      <c r="S34" s="1692"/>
      <c r="T34" s="1693"/>
      <c r="U34" s="1681"/>
      <c r="V34" s="1694"/>
      <c r="W34" s="1695">
        <f>V35</f>
        <v>500000</v>
      </c>
      <c r="X34" s="1628"/>
    </row>
    <row r="35" spans="2:26" s="449" customFormat="1" ht="16.350000000000001" customHeight="1" x14ac:dyDescent="0.3">
      <c r="B35" s="1635"/>
      <c r="C35" s="1630"/>
      <c r="D35" s="1696"/>
      <c r="E35" s="1630"/>
      <c r="F35" s="1642"/>
      <c r="G35" s="1643"/>
      <c r="H35" s="1644"/>
      <c r="I35" s="1644"/>
      <c r="J35" s="1644"/>
      <c r="K35" s="1686"/>
      <c r="L35" s="1697" t="s">
        <v>267</v>
      </c>
      <c r="M35" s="1698"/>
      <c r="N35" s="1699"/>
      <c r="O35" s="1700"/>
      <c r="P35" s="1699">
        <v>500000</v>
      </c>
      <c r="Q35" s="1700" t="s">
        <v>80</v>
      </c>
      <c r="R35" s="1699">
        <v>1</v>
      </c>
      <c r="S35" s="1692" t="s">
        <v>80</v>
      </c>
      <c r="T35" s="1701">
        <v>1</v>
      </c>
      <c r="U35" s="1681" t="s">
        <v>98</v>
      </c>
      <c r="V35" s="1702">
        <f>P35*R35*T35</f>
        <v>500000</v>
      </c>
      <c r="W35" s="1703"/>
      <c r="X35" s="1704"/>
    </row>
    <row r="36" spans="2:26" s="539" customFormat="1" ht="16.350000000000001" customHeight="1" x14ac:dyDescent="0.3">
      <c r="B36" s="769"/>
      <c r="C36" s="783"/>
      <c r="D36" s="1650"/>
      <c r="E36" s="783"/>
      <c r="F36" s="783"/>
      <c r="G36" s="1637" t="s">
        <v>213</v>
      </c>
      <c r="H36" s="790">
        <f>I36+W36</f>
        <v>1700000</v>
      </c>
      <c r="I36" s="790">
        <v>0</v>
      </c>
      <c r="J36" s="790">
        <f t="shared" si="10"/>
        <v>1700000</v>
      </c>
      <c r="K36" s="44" t="s">
        <v>125</v>
      </c>
      <c r="L36" s="109" t="s">
        <v>116</v>
      </c>
      <c r="M36" s="110"/>
      <c r="N36" s="124"/>
      <c r="O36" s="110"/>
      <c r="P36" s="124"/>
      <c r="Q36" s="110"/>
      <c r="R36" s="110"/>
      <c r="S36" s="1705"/>
      <c r="T36" s="112"/>
      <c r="U36" s="114"/>
      <c r="V36" s="112"/>
      <c r="W36" s="414">
        <f>V37</f>
        <v>1700000</v>
      </c>
      <c r="X36" s="118"/>
      <c r="Z36" s="541"/>
    </row>
    <row r="37" spans="2:26" s="539" customFormat="1" ht="16.350000000000001" customHeight="1" x14ac:dyDescent="0.3">
      <c r="B37" s="769"/>
      <c r="C37" s="783"/>
      <c r="D37" s="1650"/>
      <c r="E37" s="783"/>
      <c r="F37" s="783"/>
      <c r="G37" s="783"/>
      <c r="H37" s="795"/>
      <c r="I37" s="795"/>
      <c r="J37" s="795"/>
      <c r="K37" s="116"/>
      <c r="L37" s="1665" t="s">
        <v>664</v>
      </c>
      <c r="M37" s="1665"/>
      <c r="N37" s="1665"/>
      <c r="O37" s="1706"/>
      <c r="P37" s="1665">
        <v>170000</v>
      </c>
      <c r="Q37" s="1706" t="s">
        <v>80</v>
      </c>
      <c r="R37" s="1676">
        <v>1</v>
      </c>
      <c r="S37" s="1706" t="s">
        <v>80</v>
      </c>
      <c r="T37" s="1707">
        <v>10</v>
      </c>
      <c r="U37" s="1706" t="s">
        <v>98</v>
      </c>
      <c r="V37" s="1665">
        <f>P37*R37*T37</f>
        <v>1700000</v>
      </c>
      <c r="W37" s="1695"/>
      <c r="X37" s="80"/>
      <c r="Z37" s="541"/>
    </row>
    <row r="38" spans="2:26" s="539" customFormat="1" ht="16.350000000000001" customHeight="1" x14ac:dyDescent="0.3">
      <c r="B38" s="769"/>
      <c r="C38" s="783"/>
      <c r="D38" s="1650"/>
      <c r="E38" s="783"/>
      <c r="F38" s="784" t="s">
        <v>233</v>
      </c>
      <c r="G38" s="786"/>
      <c r="H38" s="790">
        <f>H39</f>
        <v>3000000</v>
      </c>
      <c r="I38" s="790">
        <f t="shared" ref="I38:J38" si="11">I39</f>
        <v>0</v>
      </c>
      <c r="J38" s="790">
        <f t="shared" si="11"/>
        <v>3000000</v>
      </c>
      <c r="K38" s="353"/>
      <c r="L38" s="98"/>
      <c r="M38" s="110"/>
      <c r="N38" s="124"/>
      <c r="O38" s="112"/>
      <c r="P38" s="124"/>
      <c r="Q38" s="114"/>
      <c r="R38" s="112"/>
      <c r="S38" s="114"/>
      <c r="T38" s="114"/>
      <c r="U38" s="114"/>
      <c r="V38" s="111"/>
      <c r="W38" s="27"/>
      <c r="X38" s="118"/>
      <c r="Z38" s="541"/>
    </row>
    <row r="39" spans="2:26" s="539" customFormat="1" ht="16.350000000000001" customHeight="1" x14ac:dyDescent="0.3">
      <c r="B39" s="769"/>
      <c r="C39" s="783"/>
      <c r="D39" s="1650"/>
      <c r="E39" s="783"/>
      <c r="F39" s="783"/>
      <c r="G39" s="789" t="s">
        <v>227</v>
      </c>
      <c r="H39" s="790">
        <f>I39+W39</f>
        <v>3000000</v>
      </c>
      <c r="I39" s="790">
        <v>0</v>
      </c>
      <c r="J39" s="790">
        <f t="shared" ref="J39:J49" si="12">H39-I39</f>
        <v>3000000</v>
      </c>
      <c r="K39" s="121" t="s">
        <v>125</v>
      </c>
      <c r="L39" s="109" t="s">
        <v>237</v>
      </c>
      <c r="M39" s="110"/>
      <c r="N39" s="124"/>
      <c r="O39" s="112"/>
      <c r="P39" s="124"/>
      <c r="Q39" s="114"/>
      <c r="R39" s="112"/>
      <c r="S39" s="114"/>
      <c r="T39" s="114"/>
      <c r="U39" s="114"/>
      <c r="V39" s="111"/>
      <c r="W39" s="27">
        <f>V40</f>
        <v>3000000</v>
      </c>
      <c r="X39" s="118"/>
      <c r="Z39" s="541"/>
    </row>
    <row r="40" spans="2:26" s="539" customFormat="1" ht="16.350000000000001" customHeight="1" x14ac:dyDescent="0.3">
      <c r="B40" s="769"/>
      <c r="C40" s="783"/>
      <c r="D40" s="1650"/>
      <c r="E40" s="783"/>
      <c r="F40" s="783"/>
      <c r="G40" s="783"/>
      <c r="H40" s="795"/>
      <c r="I40" s="795"/>
      <c r="J40" s="795"/>
      <c r="K40" s="125"/>
      <c r="L40" s="1660" t="s">
        <v>705</v>
      </c>
      <c r="M40" s="1709"/>
      <c r="N40" s="1664"/>
      <c r="O40" s="1706"/>
      <c r="P40" s="1664">
        <v>100000</v>
      </c>
      <c r="Q40" s="1706" t="s">
        <v>80</v>
      </c>
      <c r="R40" s="1663">
        <v>5</v>
      </c>
      <c r="S40" s="1706" t="s">
        <v>80</v>
      </c>
      <c r="T40" s="1707">
        <v>6</v>
      </c>
      <c r="U40" s="1706" t="s">
        <v>98</v>
      </c>
      <c r="V40" s="1664">
        <f>P40*R40*T40</f>
        <v>3000000</v>
      </c>
      <c r="W40" s="1675"/>
      <c r="X40" s="80"/>
      <c r="Z40" s="541"/>
    </row>
    <row r="41" spans="2:26" s="539" customFormat="1" ht="16.350000000000001" customHeight="1" x14ac:dyDescent="0.3">
      <c r="B41" s="769"/>
      <c r="C41" s="783"/>
      <c r="D41" s="1650"/>
      <c r="E41" s="783"/>
      <c r="F41" s="784" t="s">
        <v>638</v>
      </c>
      <c r="G41" s="786"/>
      <c r="H41" s="790">
        <f>H42</f>
        <v>11000000</v>
      </c>
      <c r="I41" s="790">
        <f t="shared" ref="I41:J41" si="13">I42</f>
        <v>0</v>
      </c>
      <c r="J41" s="790">
        <f t="shared" si="13"/>
        <v>11000000</v>
      </c>
      <c r="K41" s="123"/>
      <c r="L41" s="109"/>
      <c r="M41" s="110"/>
      <c r="N41" s="124"/>
      <c r="O41" s="112"/>
      <c r="P41" s="124"/>
      <c r="Q41" s="114"/>
      <c r="R41" s="112"/>
      <c r="S41" s="114"/>
      <c r="T41" s="114"/>
      <c r="U41" s="114"/>
      <c r="V41" s="111"/>
      <c r="W41" s="27"/>
      <c r="X41" s="118"/>
      <c r="Z41" s="541"/>
    </row>
    <row r="42" spans="2:26" s="539" customFormat="1" ht="16.350000000000001" customHeight="1" x14ac:dyDescent="0.3">
      <c r="B42" s="769"/>
      <c r="C42" s="783"/>
      <c r="D42" s="1650"/>
      <c r="E42" s="783"/>
      <c r="F42" s="783"/>
      <c r="G42" s="789" t="s">
        <v>547</v>
      </c>
      <c r="H42" s="790">
        <f>W42+I42</f>
        <v>11000000</v>
      </c>
      <c r="I42" s="790">
        <v>0</v>
      </c>
      <c r="J42" s="790">
        <f t="shared" si="12"/>
        <v>11000000</v>
      </c>
      <c r="K42" s="45" t="s">
        <v>125</v>
      </c>
      <c r="L42" s="44" t="s">
        <v>196</v>
      </c>
      <c r="M42" s="1716"/>
      <c r="N42" s="402"/>
      <c r="O42" s="403"/>
      <c r="P42" s="402"/>
      <c r="Q42" s="403"/>
      <c r="R42" s="402"/>
      <c r="S42" s="404"/>
      <c r="T42" s="403"/>
      <c r="U42" s="404"/>
      <c r="V42" s="404"/>
      <c r="W42" s="414">
        <f>SUM(V43:V47)</f>
        <v>11000000</v>
      </c>
      <c r="X42" s="118"/>
      <c r="Z42" s="541"/>
    </row>
    <row r="43" spans="2:26" s="539" customFormat="1" ht="16.350000000000001" customHeight="1" x14ac:dyDescent="0.3">
      <c r="B43" s="769"/>
      <c r="C43" s="783"/>
      <c r="D43" s="1650"/>
      <c r="E43" s="783"/>
      <c r="F43" s="787"/>
      <c r="G43" s="783"/>
      <c r="H43" s="795"/>
      <c r="I43" s="795"/>
      <c r="J43" s="1639"/>
      <c r="K43" s="1717"/>
      <c r="L43" s="2040" t="s">
        <v>430</v>
      </c>
      <c r="M43" s="2040"/>
      <c r="N43" s="1718"/>
      <c r="O43" s="1719"/>
      <c r="P43" s="1665">
        <v>1000000</v>
      </c>
      <c r="Q43" s="1706"/>
      <c r="R43" s="1676"/>
      <c r="S43" s="1706" t="s">
        <v>80</v>
      </c>
      <c r="T43" s="1707">
        <v>2</v>
      </c>
      <c r="U43" s="1706" t="s">
        <v>98</v>
      </c>
      <c r="V43" s="1665">
        <f>P43*T43</f>
        <v>2000000</v>
      </c>
      <c r="W43" s="1720"/>
      <c r="X43" s="80"/>
    </row>
    <row r="44" spans="2:26" s="539" customFormat="1" ht="16.350000000000001" customHeight="1" x14ac:dyDescent="0.3">
      <c r="B44" s="769"/>
      <c r="C44" s="783"/>
      <c r="D44" s="1650"/>
      <c r="E44" s="783"/>
      <c r="F44" s="787"/>
      <c r="G44" s="783"/>
      <c r="H44" s="795"/>
      <c r="I44" s="795"/>
      <c r="J44" s="1639"/>
      <c r="K44" s="1717"/>
      <c r="L44" s="2040" t="s">
        <v>426</v>
      </c>
      <c r="M44" s="2040"/>
      <c r="N44" s="1665"/>
      <c r="O44" s="1706"/>
      <c r="P44" s="1665">
        <v>500000</v>
      </c>
      <c r="Q44" s="1706"/>
      <c r="R44" s="1676"/>
      <c r="S44" s="1706" t="s">
        <v>80</v>
      </c>
      <c r="T44" s="1707">
        <v>8</v>
      </c>
      <c r="U44" s="1706" t="s">
        <v>98</v>
      </c>
      <c r="V44" s="1665">
        <f t="shared" ref="V44:V47" si="14">P44*T44</f>
        <v>4000000</v>
      </c>
      <c r="W44" s="1720"/>
      <c r="X44" s="80"/>
    </row>
    <row r="45" spans="2:26" s="539" customFormat="1" ht="16.350000000000001" customHeight="1" x14ac:dyDescent="0.3">
      <c r="B45" s="769"/>
      <c r="C45" s="783"/>
      <c r="D45" s="1650"/>
      <c r="E45" s="783"/>
      <c r="F45" s="787"/>
      <c r="G45" s="783"/>
      <c r="H45" s="795"/>
      <c r="I45" s="795"/>
      <c r="J45" s="1639"/>
      <c r="K45" s="1717"/>
      <c r="L45" s="2040" t="s">
        <v>712</v>
      </c>
      <c r="M45" s="2040"/>
      <c r="N45" s="1718"/>
      <c r="O45" s="1719"/>
      <c r="P45" s="1665">
        <v>500000</v>
      </c>
      <c r="Q45" s="1706"/>
      <c r="R45" s="1676"/>
      <c r="S45" s="1706" t="s">
        <v>80</v>
      </c>
      <c r="T45" s="1707">
        <v>2</v>
      </c>
      <c r="U45" s="1706" t="s">
        <v>98</v>
      </c>
      <c r="V45" s="1665">
        <f t="shared" si="14"/>
        <v>1000000</v>
      </c>
      <c r="W45" s="1720"/>
      <c r="X45" s="80"/>
    </row>
    <row r="46" spans="2:26" s="539" customFormat="1" ht="16.350000000000001" customHeight="1" x14ac:dyDescent="0.3">
      <c r="B46" s="769"/>
      <c r="C46" s="783"/>
      <c r="D46" s="1650"/>
      <c r="E46" s="783"/>
      <c r="F46" s="787"/>
      <c r="G46" s="783"/>
      <c r="H46" s="795"/>
      <c r="I46" s="795"/>
      <c r="J46" s="1639"/>
      <c r="K46" s="1717"/>
      <c r="L46" s="2040" t="s">
        <v>713</v>
      </c>
      <c r="M46" s="2040"/>
      <c r="N46" s="1718"/>
      <c r="O46" s="1719"/>
      <c r="P46" s="1665">
        <v>100000</v>
      </c>
      <c r="Q46" s="1706"/>
      <c r="R46" s="1676"/>
      <c r="S46" s="1706" t="s">
        <v>80</v>
      </c>
      <c r="T46" s="1707">
        <v>10</v>
      </c>
      <c r="U46" s="1706" t="s">
        <v>98</v>
      </c>
      <c r="V46" s="1665">
        <f t="shared" si="14"/>
        <v>1000000</v>
      </c>
      <c r="W46" s="1720"/>
      <c r="X46" s="80"/>
    </row>
    <row r="47" spans="2:26" s="539" customFormat="1" ht="16.350000000000001" customHeight="1" x14ac:dyDescent="0.3">
      <c r="B47" s="769"/>
      <c r="C47" s="783"/>
      <c r="D47" s="1650"/>
      <c r="E47" s="783"/>
      <c r="F47" s="787"/>
      <c r="G47" s="783"/>
      <c r="H47" s="795"/>
      <c r="I47" s="795"/>
      <c r="J47" s="1639"/>
      <c r="K47" s="1717"/>
      <c r="L47" s="2040" t="s">
        <v>256</v>
      </c>
      <c r="M47" s="2040"/>
      <c r="N47" s="1718"/>
      <c r="O47" s="1719"/>
      <c r="P47" s="1665">
        <v>3000000</v>
      </c>
      <c r="Q47" s="1706"/>
      <c r="R47" s="1676"/>
      <c r="S47" s="1706" t="s">
        <v>80</v>
      </c>
      <c r="T47" s="1707">
        <v>1</v>
      </c>
      <c r="U47" s="1706" t="s">
        <v>98</v>
      </c>
      <c r="V47" s="1665">
        <f t="shared" si="14"/>
        <v>3000000</v>
      </c>
      <c r="W47" s="1720"/>
      <c r="X47" s="80"/>
    </row>
    <row r="48" spans="2:26" s="539" customFormat="1" ht="16.350000000000001" customHeight="1" x14ac:dyDescent="0.3">
      <c r="B48" s="769"/>
      <c r="C48" s="783"/>
      <c r="D48" s="1650"/>
      <c r="E48" s="783"/>
      <c r="F48" s="784" t="s">
        <v>190</v>
      </c>
      <c r="G48" s="789"/>
      <c r="H48" s="790">
        <f>H49</f>
        <v>4800000</v>
      </c>
      <c r="I48" s="790">
        <f t="shared" ref="I48:J48" si="15">I49</f>
        <v>0</v>
      </c>
      <c r="J48" s="790">
        <f t="shared" si="15"/>
        <v>4800000</v>
      </c>
      <c r="K48" s="123"/>
      <c r="L48" s="1721"/>
      <c r="M48" s="1721"/>
      <c r="N48" s="1721"/>
      <c r="O48" s="1721"/>
      <c r="P48" s="1721"/>
      <c r="Q48" s="1721"/>
      <c r="R48" s="112"/>
      <c r="S48" s="114"/>
      <c r="T48" s="114"/>
      <c r="U48" s="114"/>
      <c r="V48" s="111"/>
      <c r="W48" s="27"/>
      <c r="X48" s="118"/>
      <c r="Y48" s="1722"/>
      <c r="Z48" s="541"/>
    </row>
    <row r="49" spans="1:26" s="539" customFormat="1" ht="16.350000000000001" customHeight="1" x14ac:dyDescent="0.3">
      <c r="B49" s="769"/>
      <c r="C49" s="783"/>
      <c r="D49" s="1650"/>
      <c r="E49" s="783"/>
      <c r="F49" s="783"/>
      <c r="G49" s="789" t="s">
        <v>190</v>
      </c>
      <c r="H49" s="790">
        <f>W49+I49</f>
        <v>4800000</v>
      </c>
      <c r="I49" s="790">
        <v>0</v>
      </c>
      <c r="J49" s="790">
        <f t="shared" si="12"/>
        <v>4800000</v>
      </c>
      <c r="K49" s="121" t="s">
        <v>125</v>
      </c>
      <c r="L49" s="109" t="s">
        <v>126</v>
      </c>
      <c r="M49" s="110"/>
      <c r="N49" s="124"/>
      <c r="O49" s="112"/>
      <c r="P49" s="124"/>
      <c r="Q49" s="114"/>
      <c r="R49" s="112"/>
      <c r="S49" s="114"/>
      <c r="T49" s="114"/>
      <c r="U49" s="114"/>
      <c r="V49" s="111"/>
      <c r="W49" s="27">
        <f>V50</f>
        <v>4800000</v>
      </c>
      <c r="X49" s="118"/>
      <c r="Z49" s="541"/>
    </row>
    <row r="50" spans="1:26" s="539" customFormat="1" ht="16.350000000000001" customHeight="1" x14ac:dyDescent="0.3">
      <c r="B50" s="769"/>
      <c r="C50" s="783"/>
      <c r="D50" s="1650"/>
      <c r="E50" s="783"/>
      <c r="F50" s="783"/>
      <c r="G50" s="783"/>
      <c r="H50" s="795"/>
      <c r="I50" s="795"/>
      <c r="J50" s="795"/>
      <c r="K50" s="125"/>
      <c r="L50" s="1660" t="s">
        <v>275</v>
      </c>
      <c r="M50" s="1709"/>
      <c r="N50" s="1664"/>
      <c r="O50" s="1706"/>
      <c r="P50" s="1664">
        <v>4800000</v>
      </c>
      <c r="Q50" s="1706"/>
      <c r="R50" s="1663"/>
      <c r="S50" s="1706" t="s">
        <v>80</v>
      </c>
      <c r="T50" s="1723">
        <v>1</v>
      </c>
      <c r="U50" s="1706" t="s">
        <v>98</v>
      </c>
      <c r="V50" s="1664">
        <f>P50*T50</f>
        <v>4800000</v>
      </c>
      <c r="W50" s="1675"/>
      <c r="X50" s="80"/>
      <c r="Z50" s="541"/>
    </row>
    <row r="51" spans="1:26" s="539" customFormat="1" ht="16.350000000000001" customHeight="1" x14ac:dyDescent="0.3">
      <c r="A51" s="1651"/>
      <c r="B51" s="2016" t="s">
        <v>411</v>
      </c>
      <c r="C51" s="2017"/>
      <c r="D51" s="2017"/>
      <c r="E51" s="2017"/>
      <c r="F51" s="2017"/>
      <c r="G51" s="2018"/>
      <c r="H51" s="762">
        <f t="shared" ref="H51:J53" si="16">H52</f>
        <v>175000000</v>
      </c>
      <c r="I51" s="762">
        <f t="shared" si="16"/>
        <v>0</v>
      </c>
      <c r="J51" s="762">
        <f t="shared" si="16"/>
        <v>175000000</v>
      </c>
      <c r="K51" s="1652"/>
      <c r="L51" s="1653"/>
      <c r="M51" s="1653"/>
      <c r="N51" s="1654"/>
      <c r="O51" s="1654"/>
      <c r="P51" s="1654"/>
      <c r="Q51" s="1653"/>
      <c r="R51" s="1654"/>
      <c r="S51" s="1653"/>
      <c r="T51" s="1653"/>
      <c r="U51" s="1653"/>
      <c r="V51" s="1655"/>
      <c r="W51" s="1656"/>
      <c r="X51" s="1657"/>
    </row>
    <row r="52" spans="1:26" s="539" customFormat="1" ht="16.350000000000001" customHeight="1" x14ac:dyDescent="0.3">
      <c r="B52" s="832"/>
      <c r="C52" s="833" t="s">
        <v>538</v>
      </c>
      <c r="D52" s="1640"/>
      <c r="E52" s="1658"/>
      <c r="F52" s="1658"/>
      <c r="G52" s="1659"/>
      <c r="H52" s="834">
        <f t="shared" si="16"/>
        <v>175000000</v>
      </c>
      <c r="I52" s="834">
        <f t="shared" si="16"/>
        <v>0</v>
      </c>
      <c r="J52" s="834">
        <f t="shared" si="16"/>
        <v>175000000</v>
      </c>
      <c r="K52" s="116"/>
      <c r="L52" s="1660"/>
      <c r="M52" s="1660"/>
      <c r="N52" s="1661"/>
      <c r="O52" s="1662"/>
      <c r="P52" s="1661"/>
      <c r="Q52" s="1663"/>
      <c r="R52" s="1662"/>
      <c r="S52" s="1663"/>
      <c r="T52" s="1663"/>
      <c r="U52" s="1663"/>
      <c r="V52" s="1664"/>
      <c r="W52" s="1665"/>
      <c r="X52" s="80"/>
    </row>
    <row r="53" spans="1:26" s="541" customFormat="1" ht="16.350000000000001" customHeight="1" x14ac:dyDescent="0.3">
      <c r="B53" s="803"/>
      <c r="C53" s="805"/>
      <c r="D53" s="770" t="s">
        <v>643</v>
      </c>
      <c r="E53" s="772"/>
      <c r="F53" s="772"/>
      <c r="G53" s="773"/>
      <c r="H53" s="835">
        <f t="shared" si="16"/>
        <v>175000000</v>
      </c>
      <c r="I53" s="835">
        <f t="shared" si="16"/>
        <v>0</v>
      </c>
      <c r="J53" s="835">
        <f t="shared" si="16"/>
        <v>175000000</v>
      </c>
      <c r="K53" s="353"/>
      <c r="L53" s="98"/>
      <c r="M53" s="98"/>
      <c r="N53" s="1666"/>
      <c r="O53" s="1667"/>
      <c r="P53" s="1666"/>
      <c r="Q53" s="1668"/>
      <c r="R53" s="1667"/>
      <c r="S53" s="1668"/>
      <c r="T53" s="1668"/>
      <c r="U53" s="1668"/>
      <c r="V53" s="1669"/>
      <c r="W53" s="28"/>
      <c r="X53" s="897"/>
    </row>
    <row r="54" spans="1:26" s="541" customFormat="1" ht="16.350000000000001" customHeight="1" x14ac:dyDescent="0.3">
      <c r="B54" s="803"/>
      <c r="C54" s="782"/>
      <c r="D54" s="837"/>
      <c r="E54" s="770" t="s">
        <v>532</v>
      </c>
      <c r="F54" s="771"/>
      <c r="G54" s="838"/>
      <c r="H54" s="835">
        <f>H55+H64+H70+H73+H78+H81</f>
        <v>175000000</v>
      </c>
      <c r="I54" s="835">
        <f>I55+I64+I70+I73+I81</f>
        <v>0</v>
      </c>
      <c r="J54" s="835">
        <f>H54-I54</f>
        <v>175000000</v>
      </c>
      <c r="K54" s="353"/>
      <c r="L54" s="1670"/>
      <c r="M54" s="109"/>
      <c r="N54" s="1671"/>
      <c r="O54" s="1672"/>
      <c r="P54" s="1671"/>
      <c r="Q54" s="1673"/>
      <c r="R54" s="1672"/>
      <c r="S54" s="1673"/>
      <c r="T54" s="1673"/>
      <c r="U54" s="1673"/>
      <c r="V54" s="29"/>
      <c r="W54" s="27"/>
      <c r="X54" s="93"/>
    </row>
    <row r="55" spans="1:26" s="541" customFormat="1" ht="16.350000000000001" customHeight="1" x14ac:dyDescent="0.3">
      <c r="B55" s="803"/>
      <c r="C55" s="782"/>
      <c r="D55" s="1658"/>
      <c r="E55" s="805"/>
      <c r="F55" s="806" t="s">
        <v>188</v>
      </c>
      <c r="G55" s="786"/>
      <c r="H55" s="790">
        <f>H56+H62</f>
        <v>100000000</v>
      </c>
      <c r="I55" s="790">
        <f>I56</f>
        <v>0</v>
      </c>
      <c r="J55" s="790">
        <f>H55-I55</f>
        <v>100000000</v>
      </c>
      <c r="K55" s="353"/>
      <c r="L55" s="1670"/>
      <c r="M55" s="98"/>
      <c r="N55" s="1666"/>
      <c r="O55" s="1667"/>
      <c r="P55" s="1666"/>
      <c r="Q55" s="1668"/>
      <c r="R55" s="1667"/>
      <c r="S55" s="1668"/>
      <c r="T55" s="1668"/>
      <c r="U55" s="1668"/>
      <c r="V55" s="1669"/>
      <c r="W55" s="28"/>
      <c r="X55" s="93"/>
    </row>
    <row r="56" spans="1:26" s="541" customFormat="1" ht="16.350000000000001" customHeight="1" x14ac:dyDescent="0.3">
      <c r="B56" s="803"/>
      <c r="C56" s="782"/>
      <c r="D56" s="1658"/>
      <c r="E56" s="782"/>
      <c r="F56" s="815"/>
      <c r="G56" s="789" t="s">
        <v>364</v>
      </c>
      <c r="H56" s="790">
        <f>I56+W56</f>
        <v>65000000</v>
      </c>
      <c r="I56" s="790">
        <v>0</v>
      </c>
      <c r="J56" s="1636">
        <f t="shared" ref="J56:J68" si="17">H56-I56</f>
        <v>65000000</v>
      </c>
      <c r="K56" s="119" t="s">
        <v>125</v>
      </c>
      <c r="L56" s="1674" t="s">
        <v>40</v>
      </c>
      <c r="M56" s="1660"/>
      <c r="N56" s="1661"/>
      <c r="O56" s="1660"/>
      <c r="P56" s="1661"/>
      <c r="Q56" s="1660"/>
      <c r="R56" s="1660"/>
      <c r="S56" s="1660"/>
      <c r="T56" s="1660"/>
      <c r="U56" s="1660"/>
      <c r="V56" s="1661"/>
      <c r="W56" s="1675">
        <f>SUM(V57:V61)</f>
        <v>65000000</v>
      </c>
      <c r="X56" s="93"/>
    </row>
    <row r="57" spans="1:26" s="541" customFormat="1" ht="16.350000000000001" customHeight="1" x14ac:dyDescent="0.3">
      <c r="B57" s="803"/>
      <c r="C57" s="782"/>
      <c r="D57" s="1658"/>
      <c r="E57" s="782"/>
      <c r="F57" s="787"/>
      <c r="G57" s="783"/>
      <c r="H57" s="795"/>
      <c r="I57" s="795"/>
      <c r="J57" s="795"/>
      <c r="K57" s="125"/>
      <c r="L57" s="1676" t="s">
        <v>228</v>
      </c>
      <c r="M57" s="1677"/>
      <c r="N57" s="1680">
        <v>5000000</v>
      </c>
      <c r="O57" s="1681" t="s">
        <v>80</v>
      </c>
      <c r="P57" s="1682">
        <v>1</v>
      </c>
      <c r="Q57" s="1681" t="s">
        <v>80</v>
      </c>
      <c r="R57" s="1682">
        <v>12</v>
      </c>
      <c r="S57" s="1681" t="s">
        <v>80</v>
      </c>
      <c r="T57" s="1683">
        <v>0.38</v>
      </c>
      <c r="U57" s="1681" t="s">
        <v>98</v>
      </c>
      <c r="V57" s="1680">
        <v>22500000</v>
      </c>
      <c r="W57" s="1665"/>
      <c r="X57" s="1678"/>
    </row>
    <row r="58" spans="1:26" s="541" customFormat="1" ht="16.350000000000001" customHeight="1" x14ac:dyDescent="0.3">
      <c r="B58" s="803"/>
      <c r="C58" s="782"/>
      <c r="D58" s="1658"/>
      <c r="E58" s="782"/>
      <c r="F58" s="787"/>
      <c r="G58" s="783"/>
      <c r="H58" s="795"/>
      <c r="I58" s="795"/>
      <c r="J58" s="795"/>
      <c r="K58" s="125"/>
      <c r="L58" s="1676" t="s">
        <v>228</v>
      </c>
      <c r="M58" s="1677"/>
      <c r="N58" s="1680">
        <v>5000000</v>
      </c>
      <c r="O58" s="1681" t="s">
        <v>80</v>
      </c>
      <c r="P58" s="1682">
        <v>1</v>
      </c>
      <c r="Q58" s="1681" t="s">
        <v>80</v>
      </c>
      <c r="R58" s="1682">
        <v>12</v>
      </c>
      <c r="S58" s="1681" t="s">
        <v>80</v>
      </c>
      <c r="T58" s="1683">
        <v>0.25</v>
      </c>
      <c r="U58" s="1681" t="s">
        <v>98</v>
      </c>
      <c r="V58" s="1680">
        <f>N58*P58*R58*T58</f>
        <v>15000000</v>
      </c>
      <c r="W58" s="1665"/>
      <c r="X58" s="1678"/>
    </row>
    <row r="59" spans="1:26" s="541" customFormat="1" ht="16.350000000000001" customHeight="1" x14ac:dyDescent="0.3">
      <c r="B59" s="803"/>
      <c r="C59" s="782"/>
      <c r="D59" s="1658"/>
      <c r="E59" s="782"/>
      <c r="F59" s="787"/>
      <c r="G59" s="783"/>
      <c r="H59" s="795"/>
      <c r="I59" s="795"/>
      <c r="J59" s="795"/>
      <c r="K59" s="125"/>
      <c r="L59" s="1676" t="s">
        <v>245</v>
      </c>
      <c r="M59" s="1677"/>
      <c r="N59" s="1680">
        <v>3750000</v>
      </c>
      <c r="O59" s="1681" t="s">
        <v>80</v>
      </c>
      <c r="P59" s="1682">
        <v>1</v>
      </c>
      <c r="Q59" s="1681" t="s">
        <v>80</v>
      </c>
      <c r="R59" s="1682">
        <v>12</v>
      </c>
      <c r="S59" s="1681" t="s">
        <v>80</v>
      </c>
      <c r="T59" s="1683">
        <v>0.2</v>
      </c>
      <c r="U59" s="1681" t="s">
        <v>98</v>
      </c>
      <c r="V59" s="1680">
        <f>N59*P59*R59*T59</f>
        <v>9000000</v>
      </c>
      <c r="W59" s="1665"/>
      <c r="X59" s="1678"/>
    </row>
    <row r="60" spans="1:26" s="541" customFormat="1" ht="16.350000000000001" customHeight="1" x14ac:dyDescent="0.3">
      <c r="B60" s="803"/>
      <c r="C60" s="782"/>
      <c r="D60" s="1658"/>
      <c r="E60" s="782"/>
      <c r="F60" s="787"/>
      <c r="G60" s="783"/>
      <c r="H60" s="795"/>
      <c r="I60" s="795"/>
      <c r="J60" s="795"/>
      <c r="K60" s="125"/>
      <c r="L60" s="1676" t="s">
        <v>150</v>
      </c>
      <c r="M60" s="1697"/>
      <c r="N60" s="1680">
        <v>2916667</v>
      </c>
      <c r="O60" s="1681" t="s">
        <v>80</v>
      </c>
      <c r="P60" s="1682">
        <v>1</v>
      </c>
      <c r="Q60" s="1681" t="s">
        <v>80</v>
      </c>
      <c r="R60" s="1682">
        <v>12</v>
      </c>
      <c r="S60" s="1681" t="s">
        <v>80</v>
      </c>
      <c r="T60" s="1683">
        <v>0.3</v>
      </c>
      <c r="U60" s="1681" t="s">
        <v>98</v>
      </c>
      <c r="V60" s="1680">
        <v>10500000</v>
      </c>
      <c r="W60" s="1665"/>
      <c r="X60" s="1678"/>
    </row>
    <row r="61" spans="1:26" s="541" customFormat="1" ht="16.350000000000001" customHeight="1" x14ac:dyDescent="0.3">
      <c r="B61" s="803"/>
      <c r="C61" s="782"/>
      <c r="D61" s="1658"/>
      <c r="E61" s="782"/>
      <c r="F61" s="787"/>
      <c r="G61" s="819"/>
      <c r="H61" s="820"/>
      <c r="I61" s="820"/>
      <c r="J61" s="820"/>
      <c r="K61" s="1710"/>
      <c r="L61" s="1724" t="s">
        <v>150</v>
      </c>
      <c r="M61" s="1768"/>
      <c r="N61" s="1725">
        <v>2916667</v>
      </c>
      <c r="O61" s="1726" t="s">
        <v>80</v>
      </c>
      <c r="P61" s="181">
        <v>1</v>
      </c>
      <c r="Q61" s="1726" t="s">
        <v>80</v>
      </c>
      <c r="R61" s="181">
        <v>9</v>
      </c>
      <c r="S61" s="1726" t="s">
        <v>80</v>
      </c>
      <c r="T61" s="1727">
        <v>0.25</v>
      </c>
      <c r="U61" s="1726" t="s">
        <v>98</v>
      </c>
      <c r="V61" s="1725">
        <v>8000000</v>
      </c>
      <c r="W61" s="1708"/>
      <c r="X61" s="1728"/>
    </row>
    <row r="62" spans="1:26" s="541" customFormat="1" ht="16.350000000000001" customHeight="1" x14ac:dyDescent="0.3">
      <c r="B62" s="803"/>
      <c r="C62" s="782"/>
      <c r="D62" s="1658"/>
      <c r="E62" s="782"/>
      <c r="F62" s="787"/>
      <c r="G62" s="783" t="s">
        <v>696</v>
      </c>
      <c r="H62" s="795">
        <f>W62</f>
        <v>35000000</v>
      </c>
      <c r="I62" s="795">
        <v>0</v>
      </c>
      <c r="J62" s="795">
        <f>H62-I62</f>
        <v>35000000</v>
      </c>
      <c r="K62" s="119" t="s">
        <v>125</v>
      </c>
      <c r="L62" s="1674" t="s">
        <v>40</v>
      </c>
      <c r="M62" s="1679"/>
      <c r="N62" s="1680"/>
      <c r="O62" s="1681"/>
      <c r="P62" s="1682"/>
      <c r="Q62" s="1681"/>
      <c r="R62" s="1688"/>
      <c r="S62" s="1681"/>
      <c r="T62" s="1683"/>
      <c r="U62" s="1681"/>
      <c r="V62" s="1680"/>
      <c r="W62" s="1675">
        <f>V63</f>
        <v>35000000</v>
      </c>
      <c r="X62" s="1678"/>
    </row>
    <row r="63" spans="1:26" s="541" customFormat="1" ht="16.350000000000001" customHeight="1" x14ac:dyDescent="0.3">
      <c r="B63" s="803"/>
      <c r="C63" s="782"/>
      <c r="D63" s="1658"/>
      <c r="E63" s="782"/>
      <c r="F63" s="787"/>
      <c r="G63" s="783"/>
      <c r="H63" s="795"/>
      <c r="I63" s="795"/>
      <c r="J63" s="795"/>
      <c r="K63" s="125"/>
      <c r="L63" s="1676" t="s">
        <v>700</v>
      </c>
      <c r="M63" s="1679"/>
      <c r="N63" s="1680">
        <v>2916667</v>
      </c>
      <c r="O63" s="1681" t="s">
        <v>80</v>
      </c>
      <c r="P63" s="1682">
        <v>1</v>
      </c>
      <c r="Q63" s="1681" t="s">
        <v>80</v>
      </c>
      <c r="R63" s="1688">
        <v>12</v>
      </c>
      <c r="S63" s="1681" t="s">
        <v>80</v>
      </c>
      <c r="T63" s="1683">
        <v>1</v>
      </c>
      <c r="U63" s="1681" t="s">
        <v>98</v>
      </c>
      <c r="V63" s="1680">
        <v>35000000</v>
      </c>
      <c r="W63" s="1675"/>
      <c r="X63" s="1678"/>
    </row>
    <row r="64" spans="1:26" s="539" customFormat="1" ht="16.350000000000001" customHeight="1" x14ac:dyDescent="0.3">
      <c r="B64" s="769"/>
      <c r="C64" s="783"/>
      <c r="D64" s="1650"/>
      <c r="E64" s="783"/>
      <c r="F64" s="784" t="s">
        <v>551</v>
      </c>
      <c r="G64" s="786"/>
      <c r="H64" s="774">
        <f>H65+H68</f>
        <v>19000000</v>
      </c>
      <c r="I64" s="774">
        <f>I68</f>
        <v>0</v>
      </c>
      <c r="J64" s="774">
        <f>H64-I64</f>
        <v>19000000</v>
      </c>
      <c r="K64" s="353"/>
      <c r="L64" s="98"/>
      <c r="M64" s="99"/>
      <c r="N64" s="102"/>
      <c r="O64" s="104"/>
      <c r="P64" s="102"/>
      <c r="Q64" s="105"/>
      <c r="R64" s="104"/>
      <c r="S64" s="105"/>
      <c r="T64" s="105"/>
      <c r="U64" s="105"/>
      <c r="V64" s="100"/>
      <c r="W64" s="28"/>
      <c r="X64" s="106"/>
      <c r="Z64" s="541"/>
    </row>
    <row r="65" spans="2:26" s="1631" customFormat="1" ht="16.350000000000001" customHeight="1" x14ac:dyDescent="0.3">
      <c r="B65" s="1684"/>
      <c r="C65" s="1641"/>
      <c r="D65" s="1685"/>
      <c r="E65" s="1641"/>
      <c r="F65" s="1633"/>
      <c r="G65" s="1630" t="s">
        <v>650</v>
      </c>
      <c r="H65" s="1634">
        <f>I65+W65</f>
        <v>15500000</v>
      </c>
      <c r="I65" s="1634">
        <v>0</v>
      </c>
      <c r="J65" s="1634">
        <f>H65-I65</f>
        <v>15500000</v>
      </c>
      <c r="K65" s="1686" t="s">
        <v>125</v>
      </c>
      <c r="L65" s="1687" t="s">
        <v>230</v>
      </c>
      <c r="M65" s="1688"/>
      <c r="N65" s="1689"/>
      <c r="O65" s="1690"/>
      <c r="P65" s="1691"/>
      <c r="Q65" s="1690"/>
      <c r="R65" s="1689"/>
      <c r="S65" s="1692"/>
      <c r="T65" s="1693"/>
      <c r="U65" s="1681"/>
      <c r="V65" s="1694"/>
      <c r="W65" s="1695">
        <f>SUM(V66:V67)</f>
        <v>15500000</v>
      </c>
      <c r="X65" s="1628"/>
    </row>
    <row r="66" spans="2:26" s="449" customFormat="1" ht="16.350000000000001" customHeight="1" x14ac:dyDescent="0.3">
      <c r="B66" s="1635"/>
      <c r="C66" s="1630"/>
      <c r="D66" s="1696"/>
      <c r="E66" s="1630"/>
      <c r="F66" s="1642"/>
      <c r="G66" s="1643"/>
      <c r="H66" s="1644"/>
      <c r="I66" s="1644"/>
      <c r="J66" s="1644"/>
      <c r="K66" s="1686"/>
      <c r="L66" s="1848" t="s">
        <v>709</v>
      </c>
      <c r="M66" s="1698"/>
      <c r="N66" s="1699"/>
      <c r="O66" s="1700"/>
      <c r="P66" s="1699">
        <v>5000000</v>
      </c>
      <c r="Q66" s="1700" t="s">
        <v>80</v>
      </c>
      <c r="R66" s="1699">
        <v>1</v>
      </c>
      <c r="S66" s="1692" t="s">
        <v>80</v>
      </c>
      <c r="T66" s="1701">
        <v>3</v>
      </c>
      <c r="U66" s="1681" t="s">
        <v>98</v>
      </c>
      <c r="V66" s="1702">
        <f>P66*R66*T66</f>
        <v>15000000</v>
      </c>
      <c r="W66" s="1703"/>
      <c r="X66" s="1704"/>
    </row>
    <row r="67" spans="2:26" s="449" customFormat="1" ht="16.350000000000001" customHeight="1" x14ac:dyDescent="0.3">
      <c r="B67" s="1635"/>
      <c r="C67" s="1630"/>
      <c r="D67" s="1696"/>
      <c r="E67" s="1630"/>
      <c r="F67" s="1642"/>
      <c r="G67" s="1643"/>
      <c r="H67" s="1644"/>
      <c r="I67" s="1644"/>
      <c r="J67" s="1644"/>
      <c r="K67" s="1686"/>
      <c r="L67" s="1697" t="s">
        <v>267</v>
      </c>
      <c r="M67" s="1698"/>
      <c r="N67" s="1699"/>
      <c r="O67" s="1700"/>
      <c r="P67" s="1699">
        <v>500000</v>
      </c>
      <c r="Q67" s="1700" t="s">
        <v>80</v>
      </c>
      <c r="R67" s="1699">
        <v>1</v>
      </c>
      <c r="S67" s="1692" t="s">
        <v>80</v>
      </c>
      <c r="T67" s="1701">
        <v>1</v>
      </c>
      <c r="U67" s="1681" t="s">
        <v>98</v>
      </c>
      <c r="V67" s="1702">
        <f>P67*R67*T67</f>
        <v>500000</v>
      </c>
      <c r="W67" s="1703"/>
      <c r="X67" s="1704"/>
    </row>
    <row r="68" spans="2:26" s="539" customFormat="1" ht="16.350000000000001" customHeight="1" x14ac:dyDescent="0.3">
      <c r="B68" s="769"/>
      <c r="C68" s="783"/>
      <c r="D68" s="1650"/>
      <c r="E68" s="783"/>
      <c r="F68" s="783"/>
      <c r="G68" s="1637" t="s">
        <v>213</v>
      </c>
      <c r="H68" s="790">
        <f>I68+W68</f>
        <v>3500000</v>
      </c>
      <c r="I68" s="790">
        <v>0</v>
      </c>
      <c r="J68" s="790">
        <f t="shared" si="17"/>
        <v>3500000</v>
      </c>
      <c r="K68" s="44" t="s">
        <v>125</v>
      </c>
      <c r="L68" s="109" t="s">
        <v>116</v>
      </c>
      <c r="M68" s="110"/>
      <c r="N68" s="124"/>
      <c r="O68" s="110"/>
      <c r="P68" s="124"/>
      <c r="Q68" s="110"/>
      <c r="R68" s="110"/>
      <c r="S68" s="1705"/>
      <c r="T68" s="112"/>
      <c r="U68" s="114"/>
      <c r="V68" s="112"/>
      <c r="W68" s="414">
        <f>V69</f>
        <v>3500000</v>
      </c>
      <c r="X68" s="118"/>
      <c r="Z68" s="541"/>
    </row>
    <row r="69" spans="2:26" s="539" customFormat="1" ht="16.350000000000001" customHeight="1" x14ac:dyDescent="0.3">
      <c r="B69" s="769"/>
      <c r="C69" s="783"/>
      <c r="D69" s="1650"/>
      <c r="E69" s="783"/>
      <c r="F69" s="783"/>
      <c r="G69" s="783"/>
      <c r="H69" s="795"/>
      <c r="I69" s="795"/>
      <c r="J69" s="795"/>
      <c r="K69" s="116"/>
      <c r="L69" s="1665" t="s">
        <v>664</v>
      </c>
      <c r="M69" s="1665"/>
      <c r="N69" s="1665"/>
      <c r="O69" s="1706"/>
      <c r="P69" s="1665">
        <v>175000</v>
      </c>
      <c r="Q69" s="1706" t="s">
        <v>80</v>
      </c>
      <c r="R69" s="1676">
        <v>4</v>
      </c>
      <c r="S69" s="1706" t="s">
        <v>80</v>
      </c>
      <c r="T69" s="1707">
        <v>5</v>
      </c>
      <c r="U69" s="1706" t="s">
        <v>98</v>
      </c>
      <c r="V69" s="1665">
        <f>P69*R69*T69</f>
        <v>3500000</v>
      </c>
      <c r="W69" s="1695"/>
      <c r="X69" s="80"/>
      <c r="Z69" s="541"/>
    </row>
    <row r="70" spans="2:26" s="539" customFormat="1" ht="16.350000000000001" customHeight="1" x14ac:dyDescent="0.3">
      <c r="B70" s="769"/>
      <c r="C70" s="783"/>
      <c r="D70" s="1650"/>
      <c r="E70" s="783"/>
      <c r="F70" s="784" t="s">
        <v>233</v>
      </c>
      <c r="G70" s="786"/>
      <c r="H70" s="790">
        <f>H71</f>
        <v>2000000</v>
      </c>
      <c r="I70" s="790">
        <f t="shared" ref="I70:J70" si="18">I71</f>
        <v>0</v>
      </c>
      <c r="J70" s="790">
        <f t="shared" si="18"/>
        <v>2000000</v>
      </c>
      <c r="K70" s="353"/>
      <c r="L70" s="98"/>
      <c r="M70" s="110"/>
      <c r="N70" s="124"/>
      <c r="O70" s="112"/>
      <c r="P70" s="124"/>
      <c r="Q70" s="114"/>
      <c r="R70" s="112"/>
      <c r="S70" s="114"/>
      <c r="T70" s="114"/>
      <c r="U70" s="114"/>
      <c r="V70" s="111"/>
      <c r="W70" s="27"/>
      <c r="X70" s="118"/>
      <c r="Z70" s="541"/>
    </row>
    <row r="71" spans="2:26" s="539" customFormat="1" ht="16.350000000000001" customHeight="1" x14ac:dyDescent="0.3">
      <c r="B71" s="769"/>
      <c r="C71" s="783"/>
      <c r="D71" s="1650"/>
      <c r="E71" s="783"/>
      <c r="F71" s="783"/>
      <c r="G71" s="789" t="s">
        <v>227</v>
      </c>
      <c r="H71" s="790">
        <f>I71+W71</f>
        <v>2000000</v>
      </c>
      <c r="I71" s="790">
        <v>0</v>
      </c>
      <c r="J71" s="790">
        <f t="shared" ref="J71:J82" si="19">H71-I71</f>
        <v>2000000</v>
      </c>
      <c r="K71" s="121" t="s">
        <v>125</v>
      </c>
      <c r="L71" s="109" t="s">
        <v>237</v>
      </c>
      <c r="M71" s="110"/>
      <c r="N71" s="124"/>
      <c r="O71" s="112"/>
      <c r="P71" s="124"/>
      <c r="Q71" s="114"/>
      <c r="R71" s="112"/>
      <c r="S71" s="114"/>
      <c r="T71" s="114"/>
      <c r="U71" s="114"/>
      <c r="V71" s="111"/>
      <c r="W71" s="27">
        <f>V72</f>
        <v>2000000</v>
      </c>
      <c r="X71" s="118"/>
      <c r="Z71" s="541"/>
    </row>
    <row r="72" spans="2:26" s="539" customFormat="1" ht="16.350000000000001" customHeight="1" x14ac:dyDescent="0.3">
      <c r="B72" s="769"/>
      <c r="C72" s="783"/>
      <c r="D72" s="1650"/>
      <c r="E72" s="783"/>
      <c r="F72" s="819"/>
      <c r="G72" s="819"/>
      <c r="H72" s="820"/>
      <c r="I72" s="820"/>
      <c r="J72" s="820"/>
      <c r="K72" s="1710"/>
      <c r="L72" s="1711" t="s">
        <v>705</v>
      </c>
      <c r="M72" s="1769"/>
      <c r="N72" s="1712"/>
      <c r="O72" s="1713"/>
      <c r="P72" s="1712">
        <v>250000</v>
      </c>
      <c r="Q72" s="1713" t="s">
        <v>80</v>
      </c>
      <c r="R72" s="1714">
        <v>2</v>
      </c>
      <c r="S72" s="1713" t="s">
        <v>80</v>
      </c>
      <c r="T72" s="1742">
        <v>4</v>
      </c>
      <c r="U72" s="1713" t="s">
        <v>98</v>
      </c>
      <c r="V72" s="1712">
        <f>P72*R72*T72</f>
        <v>2000000</v>
      </c>
      <c r="W72" s="1715"/>
      <c r="X72" s="1627"/>
      <c r="Z72" s="541"/>
    </row>
    <row r="73" spans="2:26" s="539" customFormat="1" ht="16.350000000000001" customHeight="1" x14ac:dyDescent="0.3">
      <c r="B73" s="769"/>
      <c r="C73" s="783"/>
      <c r="D73" s="1650"/>
      <c r="E73" s="783"/>
      <c r="F73" s="819" t="s">
        <v>638</v>
      </c>
      <c r="G73" s="1638"/>
      <c r="H73" s="795">
        <f>H74</f>
        <v>43500000</v>
      </c>
      <c r="I73" s="795">
        <f t="shared" ref="I73:J73" si="20">I74</f>
        <v>0</v>
      </c>
      <c r="J73" s="795">
        <f t="shared" si="20"/>
        <v>43500000</v>
      </c>
      <c r="K73" s="125"/>
      <c r="L73" s="1674"/>
      <c r="M73" s="1660"/>
      <c r="N73" s="1661"/>
      <c r="O73" s="1662"/>
      <c r="P73" s="1661"/>
      <c r="Q73" s="1663"/>
      <c r="R73" s="1662"/>
      <c r="S73" s="1663"/>
      <c r="T73" s="114"/>
      <c r="U73" s="114"/>
      <c r="V73" s="111"/>
      <c r="W73" s="1675"/>
      <c r="X73" s="80"/>
      <c r="Z73" s="541"/>
    </row>
    <row r="74" spans="2:26" s="539" customFormat="1" ht="16.350000000000001" customHeight="1" x14ac:dyDescent="0.3">
      <c r="B74" s="769"/>
      <c r="C74" s="783"/>
      <c r="D74" s="1650"/>
      <c r="E74" s="783"/>
      <c r="F74" s="783"/>
      <c r="G74" s="789" t="s">
        <v>547</v>
      </c>
      <c r="H74" s="790">
        <f>W74+I74</f>
        <v>43500000</v>
      </c>
      <c r="I74" s="790">
        <v>0</v>
      </c>
      <c r="J74" s="790">
        <f t="shared" si="19"/>
        <v>43500000</v>
      </c>
      <c r="K74" s="45" t="s">
        <v>125</v>
      </c>
      <c r="L74" s="44" t="s">
        <v>196</v>
      </c>
      <c r="M74" s="1716"/>
      <c r="N74" s="402"/>
      <c r="O74" s="403"/>
      <c r="P74" s="402"/>
      <c r="Q74" s="403"/>
      <c r="R74" s="402"/>
      <c r="S74" s="404"/>
      <c r="T74" s="403"/>
      <c r="U74" s="404"/>
      <c r="V74" s="404"/>
      <c r="W74" s="414">
        <f>SUM(V75:V77)</f>
        <v>43500000</v>
      </c>
      <c r="X74" s="118"/>
      <c r="Z74" s="541"/>
    </row>
    <row r="75" spans="2:26" s="539" customFormat="1" ht="16.350000000000001" customHeight="1" x14ac:dyDescent="0.3">
      <c r="B75" s="769"/>
      <c r="C75" s="783"/>
      <c r="D75" s="1650"/>
      <c r="E75" s="783"/>
      <c r="F75" s="787"/>
      <c r="G75" s="783"/>
      <c r="H75" s="795"/>
      <c r="I75" s="795"/>
      <c r="J75" s="1639"/>
      <c r="K75" s="1717"/>
      <c r="L75" s="2040" t="s">
        <v>508</v>
      </c>
      <c r="M75" s="2040"/>
      <c r="N75" s="1718"/>
      <c r="O75" s="1719"/>
      <c r="P75" s="1665">
        <v>2850000</v>
      </c>
      <c r="Q75" s="1706"/>
      <c r="R75" s="1676"/>
      <c r="S75" s="1706" t="s">
        <v>80</v>
      </c>
      <c r="T75" s="1707">
        <v>10</v>
      </c>
      <c r="U75" s="1706" t="s">
        <v>98</v>
      </c>
      <c r="V75" s="1665">
        <f>P75*T75</f>
        <v>28500000</v>
      </c>
      <c r="W75" s="1720"/>
      <c r="X75" s="80"/>
    </row>
    <row r="76" spans="2:26" s="539" customFormat="1" ht="16.350000000000001" customHeight="1" x14ac:dyDescent="0.3">
      <c r="B76" s="769"/>
      <c r="C76" s="783"/>
      <c r="D76" s="1650"/>
      <c r="E76" s="783"/>
      <c r="F76" s="787"/>
      <c r="G76" s="783"/>
      <c r="H76" s="795"/>
      <c r="I76" s="795"/>
      <c r="J76" s="1639"/>
      <c r="K76" s="1717"/>
      <c r="L76" s="2040" t="s">
        <v>499</v>
      </c>
      <c r="M76" s="2040"/>
      <c r="N76" s="1665"/>
      <c r="O76" s="1706"/>
      <c r="P76" s="1665">
        <v>1000000</v>
      </c>
      <c r="Q76" s="1706"/>
      <c r="R76" s="1676"/>
      <c r="S76" s="1706" t="s">
        <v>80</v>
      </c>
      <c r="T76" s="1707">
        <v>10</v>
      </c>
      <c r="U76" s="1706" t="s">
        <v>98</v>
      </c>
      <c r="V76" s="1665">
        <f>P76*T76</f>
        <v>10000000</v>
      </c>
      <c r="W76" s="1720"/>
      <c r="X76" s="80"/>
    </row>
    <row r="77" spans="2:26" s="539" customFormat="1" ht="16.350000000000001" customHeight="1" x14ac:dyDescent="0.3">
      <c r="B77" s="769"/>
      <c r="C77" s="783"/>
      <c r="D77" s="1650"/>
      <c r="E77" s="783"/>
      <c r="F77" s="787"/>
      <c r="G77" s="783"/>
      <c r="H77" s="795"/>
      <c r="I77" s="795"/>
      <c r="J77" s="1639"/>
      <c r="K77" s="1717"/>
      <c r="L77" s="2040" t="s">
        <v>157</v>
      </c>
      <c r="M77" s="2040"/>
      <c r="N77" s="1718"/>
      <c r="O77" s="1719"/>
      <c r="P77" s="1665">
        <v>500000</v>
      </c>
      <c r="Q77" s="1706"/>
      <c r="R77" s="1676"/>
      <c r="S77" s="1706" t="s">
        <v>80</v>
      </c>
      <c r="T77" s="1707">
        <v>10</v>
      </c>
      <c r="U77" s="1706" t="s">
        <v>98</v>
      </c>
      <c r="V77" s="1665">
        <f>P77*T77</f>
        <v>5000000</v>
      </c>
      <c r="W77" s="1720"/>
      <c r="X77" s="80"/>
    </row>
    <row r="78" spans="2:26" s="449" customFormat="1" ht="16.350000000000001" customHeight="1" x14ac:dyDescent="0.3">
      <c r="B78" s="1635"/>
      <c r="C78" s="1630"/>
      <c r="D78" s="1696"/>
      <c r="E78" s="1630"/>
      <c r="F78" s="1632" t="s">
        <v>634</v>
      </c>
      <c r="G78" s="1629"/>
      <c r="H78" s="1648">
        <f>H79</f>
        <v>500000</v>
      </c>
      <c r="I78" s="1649">
        <f>I79</f>
        <v>0</v>
      </c>
      <c r="J78" s="1649">
        <f>J79</f>
        <v>500000</v>
      </c>
      <c r="K78" s="1729"/>
      <c r="L78" s="46"/>
      <c r="M78" s="46"/>
      <c r="N78" s="1730"/>
      <c r="O78" s="1731"/>
      <c r="P78" s="1732"/>
      <c r="Q78" s="1731"/>
      <c r="R78" s="1733"/>
      <c r="S78" s="1731"/>
      <c r="T78" s="1734"/>
      <c r="U78" s="1731"/>
      <c r="V78" s="1735"/>
      <c r="W78" s="371"/>
      <c r="X78" s="372"/>
    </row>
    <row r="79" spans="2:26" s="449" customFormat="1" ht="16.350000000000001" customHeight="1" x14ac:dyDescent="0.3">
      <c r="B79" s="1635"/>
      <c r="C79" s="1630"/>
      <c r="D79" s="1696"/>
      <c r="E79" s="1630"/>
      <c r="F79" s="1630"/>
      <c r="G79" s="1630" t="s">
        <v>634</v>
      </c>
      <c r="H79" s="1645">
        <f>W79+I79</f>
        <v>500000</v>
      </c>
      <c r="I79" s="1647">
        <v>0</v>
      </c>
      <c r="J79" s="1647">
        <f>H79-I79</f>
        <v>500000</v>
      </c>
      <c r="K79" s="1736" t="s">
        <v>125</v>
      </c>
      <c r="L79" s="1737" t="s">
        <v>183</v>
      </c>
      <c r="M79" s="1737"/>
      <c r="N79" s="1718"/>
      <c r="O79" s="1719"/>
      <c r="P79" s="1738"/>
      <c r="Q79" s="1739"/>
      <c r="R79" s="1740"/>
      <c r="S79" s="1739"/>
      <c r="T79" s="1740"/>
      <c r="U79" s="1739"/>
      <c r="V79" s="1741"/>
      <c r="W79" s="414">
        <f>V80</f>
        <v>500000</v>
      </c>
      <c r="X79" s="358"/>
    </row>
    <row r="80" spans="2:26" s="449" customFormat="1" ht="16.350000000000001" customHeight="1" x14ac:dyDescent="0.3">
      <c r="B80" s="1635"/>
      <c r="C80" s="1630"/>
      <c r="D80" s="1696"/>
      <c r="E80" s="1630"/>
      <c r="F80" s="1630"/>
      <c r="G80" s="1630"/>
      <c r="H80" s="1646"/>
      <c r="I80" s="1647"/>
      <c r="J80" s="1647"/>
      <c r="K80" s="1736"/>
      <c r="L80" s="1737" t="s">
        <v>698</v>
      </c>
      <c r="M80" s="1737"/>
      <c r="N80" s="1741"/>
      <c r="O80" s="1739"/>
      <c r="P80" s="1699">
        <v>500000</v>
      </c>
      <c r="Q80" s="1700" t="s">
        <v>80</v>
      </c>
      <c r="R80" s="1699">
        <v>1</v>
      </c>
      <c r="S80" s="1692" t="s">
        <v>80</v>
      </c>
      <c r="T80" s="1701">
        <v>1</v>
      </c>
      <c r="U80" s="1681" t="s">
        <v>98</v>
      </c>
      <c r="V80" s="1702">
        <f>P80*R80*T80</f>
        <v>500000</v>
      </c>
      <c r="W80" s="1720"/>
      <c r="X80" s="358"/>
    </row>
    <row r="81" spans="1:26" s="539" customFormat="1" ht="16.350000000000001" customHeight="1" x14ac:dyDescent="0.3">
      <c r="B81" s="769"/>
      <c r="C81" s="783"/>
      <c r="D81" s="1650"/>
      <c r="E81" s="783"/>
      <c r="F81" s="784" t="s">
        <v>190</v>
      </c>
      <c r="G81" s="789"/>
      <c r="H81" s="790">
        <f>H82</f>
        <v>10000000</v>
      </c>
      <c r="I81" s="790">
        <f t="shared" ref="I81:J81" si="21">I82</f>
        <v>0</v>
      </c>
      <c r="J81" s="790">
        <f t="shared" si="21"/>
        <v>10000000</v>
      </c>
      <c r="K81" s="123"/>
      <c r="L81" s="1721"/>
      <c r="M81" s="1721"/>
      <c r="N81" s="1721"/>
      <c r="O81" s="1721"/>
      <c r="P81" s="1721"/>
      <c r="Q81" s="1721"/>
      <c r="R81" s="112"/>
      <c r="S81" s="114"/>
      <c r="T81" s="114"/>
      <c r="U81" s="114"/>
      <c r="V81" s="111"/>
      <c r="W81" s="27"/>
      <c r="X81" s="118"/>
      <c r="Y81" s="1722"/>
      <c r="Z81" s="541"/>
    </row>
    <row r="82" spans="1:26" s="539" customFormat="1" ht="16.350000000000001" customHeight="1" x14ac:dyDescent="0.3">
      <c r="B82" s="769"/>
      <c r="C82" s="783"/>
      <c r="D82" s="1650"/>
      <c r="E82" s="783"/>
      <c r="F82" s="783"/>
      <c r="G82" s="789" t="s">
        <v>190</v>
      </c>
      <c r="H82" s="790">
        <f>W82+I82</f>
        <v>10000000</v>
      </c>
      <c r="I82" s="790">
        <v>0</v>
      </c>
      <c r="J82" s="790">
        <f t="shared" si="19"/>
        <v>10000000</v>
      </c>
      <c r="K82" s="121" t="s">
        <v>125</v>
      </c>
      <c r="L82" s="109" t="s">
        <v>126</v>
      </c>
      <c r="M82" s="110"/>
      <c r="N82" s="124"/>
      <c r="O82" s="112"/>
      <c r="P82" s="124"/>
      <c r="Q82" s="114"/>
      <c r="R82" s="112"/>
      <c r="S82" s="114"/>
      <c r="T82" s="114"/>
      <c r="U82" s="114"/>
      <c r="V82" s="111"/>
      <c r="W82" s="27">
        <f>V83</f>
        <v>10000000</v>
      </c>
      <c r="X82" s="118"/>
      <c r="Z82" s="541"/>
    </row>
    <row r="83" spans="1:26" s="539" customFormat="1" ht="16.350000000000001" customHeight="1" x14ac:dyDescent="0.3">
      <c r="B83" s="769"/>
      <c r="C83" s="783"/>
      <c r="D83" s="1650"/>
      <c r="E83" s="783"/>
      <c r="F83" s="783"/>
      <c r="G83" s="783"/>
      <c r="H83" s="795"/>
      <c r="I83" s="795"/>
      <c r="J83" s="795"/>
      <c r="K83" s="125"/>
      <c r="L83" s="1660" t="s">
        <v>275</v>
      </c>
      <c r="M83" s="1709"/>
      <c r="N83" s="1664"/>
      <c r="O83" s="1706"/>
      <c r="P83" s="1664">
        <v>10000000</v>
      </c>
      <c r="Q83" s="1706"/>
      <c r="R83" s="1663"/>
      <c r="S83" s="1706" t="s">
        <v>80</v>
      </c>
      <c r="T83" s="1723">
        <v>1</v>
      </c>
      <c r="U83" s="1706" t="s">
        <v>98</v>
      </c>
      <c r="V83" s="1664">
        <f>P83*T83</f>
        <v>10000000</v>
      </c>
      <c r="W83" s="1675"/>
      <c r="X83" s="80"/>
      <c r="Z83" s="541"/>
    </row>
    <row r="84" spans="1:26" s="539" customFormat="1" ht="16.350000000000001" customHeight="1" x14ac:dyDescent="0.3">
      <c r="B84" s="2016" t="s">
        <v>775</v>
      </c>
      <c r="C84" s="2017"/>
      <c r="D84" s="2017"/>
      <c r="E84" s="2017"/>
      <c r="F84" s="2017"/>
      <c r="G84" s="2018"/>
      <c r="H84" s="762">
        <f t="shared" ref="H84:I86" si="22">H85</f>
        <v>45000000</v>
      </c>
      <c r="I84" s="762">
        <f t="shared" si="22"/>
        <v>90000000</v>
      </c>
      <c r="J84" s="847">
        <f t="shared" ref="J84:J106" si="23">H84-I84</f>
        <v>-45000000</v>
      </c>
      <c r="K84" s="763"/>
      <c r="L84" s="764"/>
      <c r="M84" s="764"/>
      <c r="N84" s="765"/>
      <c r="O84" s="765"/>
      <c r="P84" s="765"/>
      <c r="Q84" s="764"/>
      <c r="R84" s="765"/>
      <c r="S84" s="764"/>
      <c r="T84" s="764"/>
      <c r="U84" s="764"/>
      <c r="V84" s="766"/>
      <c r="W84" s="767"/>
      <c r="X84" s="768"/>
    </row>
    <row r="85" spans="1:26" s="539" customFormat="1" ht="16.350000000000001" customHeight="1" x14ac:dyDescent="0.3">
      <c r="B85" s="832"/>
      <c r="C85" s="833" t="s">
        <v>538</v>
      </c>
      <c r="D85" s="848"/>
      <c r="E85" s="849"/>
      <c r="F85" s="849"/>
      <c r="G85" s="850"/>
      <c r="H85" s="834">
        <f>H86</f>
        <v>45000000</v>
      </c>
      <c r="I85" s="834">
        <f t="shared" si="22"/>
        <v>90000000</v>
      </c>
      <c r="J85" s="847">
        <f t="shared" si="23"/>
        <v>-45000000</v>
      </c>
      <c r="K85" s="645"/>
      <c r="L85" s="613"/>
      <c r="M85" s="613"/>
      <c r="N85" s="732"/>
      <c r="O85" s="827"/>
      <c r="P85" s="732"/>
      <c r="Q85" s="828"/>
      <c r="R85" s="827"/>
      <c r="S85" s="828"/>
      <c r="T85" s="828"/>
      <c r="U85" s="828"/>
      <c r="V85" s="829"/>
      <c r="W85" s="735"/>
      <c r="X85" s="802"/>
    </row>
    <row r="86" spans="1:26" s="541" customFormat="1" ht="16.350000000000001" customHeight="1" x14ac:dyDescent="0.3">
      <c r="B86" s="803"/>
      <c r="C86" s="805"/>
      <c r="D86" s="850" t="s">
        <v>643</v>
      </c>
      <c r="E86" s="849"/>
      <c r="F86" s="849"/>
      <c r="G86" s="850"/>
      <c r="H86" s="835">
        <f>H87</f>
        <v>45000000</v>
      </c>
      <c r="I86" s="835">
        <f t="shared" si="22"/>
        <v>90000000</v>
      </c>
      <c r="J86" s="847">
        <f t="shared" si="23"/>
        <v>-45000000</v>
      </c>
      <c r="K86" s="807"/>
      <c r="L86" s="809"/>
      <c r="M86" s="809"/>
      <c r="N86" s="810"/>
      <c r="O86" s="811"/>
      <c r="P86" s="810"/>
      <c r="Q86" s="812"/>
      <c r="R86" s="811"/>
      <c r="S86" s="812"/>
      <c r="T86" s="812"/>
      <c r="U86" s="812"/>
      <c r="V86" s="813"/>
      <c r="W86" s="780"/>
      <c r="X86" s="836"/>
    </row>
    <row r="87" spans="1:26" s="541" customFormat="1" ht="16.350000000000001" customHeight="1" x14ac:dyDescent="0.3">
      <c r="B87" s="803"/>
      <c r="C87" s="782"/>
      <c r="D87" s="837"/>
      <c r="E87" s="770" t="s">
        <v>532</v>
      </c>
      <c r="F87" s="771"/>
      <c r="G87" s="838"/>
      <c r="H87" s="835">
        <f>H88+H93+H96+H99+H103+H105</f>
        <v>45000000</v>
      </c>
      <c r="I87" s="835">
        <f t="shared" ref="I87:J87" si="24">I88+I93+I96+I99+I103+I105</f>
        <v>90000000</v>
      </c>
      <c r="J87" s="835">
        <f t="shared" si="24"/>
        <v>-45000000</v>
      </c>
      <c r="K87" s="807"/>
      <c r="L87" s="808"/>
      <c r="M87" s="694"/>
      <c r="N87" s="839"/>
      <c r="O87" s="840"/>
      <c r="P87" s="839"/>
      <c r="Q87" s="841"/>
      <c r="R87" s="840"/>
      <c r="S87" s="841"/>
      <c r="T87" s="841"/>
      <c r="U87" s="841"/>
      <c r="V87" s="842"/>
      <c r="W87" s="792"/>
      <c r="X87" s="814"/>
    </row>
    <row r="88" spans="1:26" s="541" customFormat="1" ht="16.350000000000001" customHeight="1" x14ac:dyDescent="0.3">
      <c r="B88" s="803"/>
      <c r="C88" s="782"/>
      <c r="D88" s="804"/>
      <c r="E88" s="805"/>
      <c r="F88" s="806" t="s">
        <v>188</v>
      </c>
      <c r="G88" s="786"/>
      <c r="H88" s="790">
        <f>H89+H91</f>
        <v>33749000</v>
      </c>
      <c r="I88" s="790">
        <f t="shared" ref="I88:J88" si="25">I89+I91</f>
        <v>52800000</v>
      </c>
      <c r="J88" s="790">
        <f t="shared" si="25"/>
        <v>-19051000</v>
      </c>
      <c r="K88" s="807"/>
      <c r="L88" s="808"/>
      <c r="M88" s="809"/>
      <c r="N88" s="810"/>
      <c r="O88" s="811"/>
      <c r="P88" s="810"/>
      <c r="Q88" s="812"/>
      <c r="R88" s="811"/>
      <c r="S88" s="812"/>
      <c r="T88" s="812"/>
      <c r="U88" s="812"/>
      <c r="V88" s="813"/>
      <c r="W88" s="780"/>
      <c r="X88" s="814"/>
    </row>
    <row r="89" spans="1:26" s="541" customFormat="1" ht="16.350000000000001" customHeight="1" x14ac:dyDescent="0.3">
      <c r="B89" s="803"/>
      <c r="C89" s="782"/>
      <c r="D89" s="804"/>
      <c r="E89" s="782"/>
      <c r="F89" s="815"/>
      <c r="G89" s="789" t="s">
        <v>364</v>
      </c>
      <c r="H89" s="790">
        <f>W89</f>
        <v>4583000</v>
      </c>
      <c r="I89" s="790">
        <v>17800000</v>
      </c>
      <c r="J89" s="790">
        <f>H89-I89</f>
        <v>-13217000</v>
      </c>
      <c r="K89" s="693" t="s">
        <v>125</v>
      </c>
      <c r="L89" s="816" t="s">
        <v>40</v>
      </c>
      <c r="M89" s="613"/>
      <c r="N89" s="732"/>
      <c r="O89" s="613"/>
      <c r="P89" s="732"/>
      <c r="Q89" s="613"/>
      <c r="R89" s="613"/>
      <c r="S89" s="613"/>
      <c r="T89" s="613"/>
      <c r="U89" s="613"/>
      <c r="V89" s="732"/>
      <c r="W89" s="801">
        <f>SUM(V90:V90)</f>
        <v>4583000</v>
      </c>
      <c r="X89" s="814"/>
    </row>
    <row r="90" spans="1:26" s="541" customFormat="1" ht="16.350000000000001" customHeight="1" x14ac:dyDescent="0.3">
      <c r="B90" s="803"/>
      <c r="C90" s="782"/>
      <c r="D90" s="804"/>
      <c r="E90" s="782"/>
      <c r="F90" s="787"/>
      <c r="G90" s="783"/>
      <c r="H90" s="795"/>
      <c r="I90" s="795"/>
      <c r="J90" s="795"/>
      <c r="K90" s="817"/>
      <c r="L90" s="613" t="s">
        <v>228</v>
      </c>
      <c r="M90" s="613"/>
      <c r="N90" s="829">
        <v>4583333</v>
      </c>
      <c r="O90" s="705" t="s">
        <v>80</v>
      </c>
      <c r="P90" s="732">
        <v>1</v>
      </c>
      <c r="Q90" s="705" t="s">
        <v>80</v>
      </c>
      <c r="R90" s="613">
        <v>10</v>
      </c>
      <c r="S90" s="705" t="s">
        <v>80</v>
      </c>
      <c r="T90" s="843">
        <v>0.1</v>
      </c>
      <c r="U90" s="705" t="s">
        <v>98</v>
      </c>
      <c r="V90" s="829">
        <v>4583000</v>
      </c>
      <c r="W90" s="801"/>
      <c r="X90" s="818"/>
    </row>
    <row r="91" spans="1:26" s="539" customFormat="1" ht="16.350000000000001" customHeight="1" x14ac:dyDescent="0.3">
      <c r="A91" s="541"/>
      <c r="B91" s="803"/>
      <c r="C91" s="782"/>
      <c r="D91" s="804"/>
      <c r="E91" s="782"/>
      <c r="F91" s="783"/>
      <c r="G91" s="789" t="s">
        <v>710</v>
      </c>
      <c r="H91" s="790">
        <f>W91</f>
        <v>29166000</v>
      </c>
      <c r="I91" s="790">
        <v>35000000</v>
      </c>
      <c r="J91" s="790">
        <f t="shared" si="23"/>
        <v>-5834000</v>
      </c>
      <c r="K91" s="693" t="s">
        <v>125</v>
      </c>
      <c r="L91" s="694" t="s">
        <v>651</v>
      </c>
      <c r="M91" s="695"/>
      <c r="N91" s="737"/>
      <c r="O91" s="695"/>
      <c r="P91" s="737"/>
      <c r="Q91" s="695"/>
      <c r="R91" s="695"/>
      <c r="S91" s="695"/>
      <c r="T91" s="695"/>
      <c r="U91" s="695"/>
      <c r="V91" s="737"/>
      <c r="W91" s="792">
        <f>V92</f>
        <v>29166000</v>
      </c>
      <c r="X91" s="814"/>
      <c r="Z91" s="541"/>
    </row>
    <row r="92" spans="1:26" s="539" customFormat="1" ht="16.350000000000001" customHeight="1" x14ac:dyDescent="0.3">
      <c r="A92" s="541"/>
      <c r="B92" s="803"/>
      <c r="C92" s="782"/>
      <c r="D92" s="804"/>
      <c r="E92" s="782"/>
      <c r="F92" s="783"/>
      <c r="G92" s="819"/>
      <c r="H92" s="820"/>
      <c r="I92" s="820"/>
      <c r="J92" s="820"/>
      <c r="K92" s="821"/>
      <c r="L92" s="797" t="s">
        <v>653</v>
      </c>
      <c r="M92" s="797"/>
      <c r="N92" s="799">
        <v>2916667</v>
      </c>
      <c r="O92" s="740" t="s">
        <v>80</v>
      </c>
      <c r="P92" s="844">
        <v>1</v>
      </c>
      <c r="Q92" s="740" t="s">
        <v>80</v>
      </c>
      <c r="R92" s="797">
        <v>10</v>
      </c>
      <c r="S92" s="740" t="s">
        <v>80</v>
      </c>
      <c r="T92" s="845">
        <v>1</v>
      </c>
      <c r="U92" s="740" t="s">
        <v>98</v>
      </c>
      <c r="V92" s="799">
        <v>29166000</v>
      </c>
      <c r="W92" s="822"/>
      <c r="X92" s="823"/>
      <c r="Z92" s="541"/>
    </row>
    <row r="93" spans="1:26" s="539" customFormat="1" ht="16.350000000000001" customHeight="1" x14ac:dyDescent="0.3">
      <c r="B93" s="769"/>
      <c r="C93" s="783"/>
      <c r="D93" s="788"/>
      <c r="E93" s="783"/>
      <c r="F93" s="784" t="s">
        <v>551</v>
      </c>
      <c r="G93" s="786"/>
      <c r="H93" s="774">
        <f>H94+H95</f>
        <v>0</v>
      </c>
      <c r="I93" s="774">
        <f t="shared" ref="I93:J93" si="26">I94+I95</f>
        <v>7000000</v>
      </c>
      <c r="J93" s="774">
        <f t="shared" si="26"/>
        <v>-7000000</v>
      </c>
      <c r="K93" s="775"/>
      <c r="L93" s="809"/>
      <c r="M93" s="824"/>
      <c r="N93" s="825"/>
      <c r="O93" s="777"/>
      <c r="P93" s="825"/>
      <c r="Q93" s="778"/>
      <c r="R93" s="777"/>
      <c r="S93" s="778"/>
      <c r="T93" s="778"/>
      <c r="U93" s="778"/>
      <c r="V93" s="779"/>
      <c r="W93" s="780"/>
      <c r="X93" s="781"/>
      <c r="Z93" s="541"/>
    </row>
    <row r="94" spans="1:26" s="539" customFormat="1" ht="16.350000000000001" customHeight="1" x14ac:dyDescent="0.3">
      <c r="B94" s="769"/>
      <c r="C94" s="783"/>
      <c r="D94" s="788"/>
      <c r="E94" s="783"/>
      <c r="F94" s="783"/>
      <c r="G94" s="789" t="s">
        <v>650</v>
      </c>
      <c r="H94" s="790">
        <f>W94</f>
        <v>0</v>
      </c>
      <c r="I94" s="790">
        <v>2000000</v>
      </c>
      <c r="J94" s="790">
        <f t="shared" si="23"/>
        <v>-2000000</v>
      </c>
      <c r="K94" s="693"/>
      <c r="L94" s="694"/>
      <c r="M94" s="695"/>
      <c r="N94" s="737"/>
      <c r="O94" s="695"/>
      <c r="P94" s="737"/>
      <c r="Q94" s="698"/>
      <c r="R94" s="738"/>
      <c r="S94" s="739"/>
      <c r="T94" s="739"/>
      <c r="U94" s="739"/>
      <c r="V94" s="791"/>
      <c r="W94" s="792"/>
      <c r="X94" s="793"/>
      <c r="Z94" s="541"/>
    </row>
    <row r="95" spans="1:26" s="539" customFormat="1" ht="16.350000000000001" customHeight="1" x14ac:dyDescent="0.3">
      <c r="B95" s="769"/>
      <c r="C95" s="783"/>
      <c r="D95" s="788"/>
      <c r="E95" s="783"/>
      <c r="F95" s="783"/>
      <c r="G95" s="789" t="s">
        <v>213</v>
      </c>
      <c r="H95" s="790">
        <f>W95</f>
        <v>0</v>
      </c>
      <c r="I95" s="790">
        <v>5000000</v>
      </c>
      <c r="J95" s="790">
        <f>H95-I95</f>
        <v>-5000000</v>
      </c>
      <c r="K95" s="693"/>
      <c r="L95" s="694"/>
      <c r="M95" s="695"/>
      <c r="N95" s="737"/>
      <c r="O95" s="695"/>
      <c r="P95" s="737"/>
      <c r="Q95" s="698"/>
      <c r="R95" s="738"/>
      <c r="S95" s="739"/>
      <c r="T95" s="739"/>
      <c r="U95" s="739"/>
      <c r="V95" s="791"/>
      <c r="W95" s="792"/>
      <c r="X95" s="793"/>
      <c r="Z95" s="541"/>
    </row>
    <row r="96" spans="1:26" s="539" customFormat="1" ht="16.350000000000001" customHeight="1" x14ac:dyDescent="0.3">
      <c r="B96" s="769"/>
      <c r="C96" s="783"/>
      <c r="D96" s="788"/>
      <c r="E96" s="783"/>
      <c r="F96" s="784" t="s">
        <v>233</v>
      </c>
      <c r="G96" s="786"/>
      <c r="H96" s="790">
        <f>H97</f>
        <v>2000000</v>
      </c>
      <c r="I96" s="790">
        <f>I97</f>
        <v>3000000</v>
      </c>
      <c r="J96" s="790">
        <f t="shared" si="23"/>
        <v>-1000000</v>
      </c>
      <c r="K96" s="693"/>
      <c r="L96" s="694"/>
      <c r="M96" s="695"/>
      <c r="N96" s="737"/>
      <c r="O96" s="738"/>
      <c r="P96" s="737"/>
      <c r="Q96" s="739"/>
      <c r="R96" s="738"/>
      <c r="S96" s="739"/>
      <c r="T96" s="739"/>
      <c r="U96" s="739"/>
      <c r="V96" s="791"/>
      <c r="W96" s="792"/>
      <c r="X96" s="793"/>
      <c r="Z96" s="541"/>
    </row>
    <row r="97" spans="1:28" s="539" customFormat="1" ht="16.350000000000001" customHeight="1" x14ac:dyDescent="0.3">
      <c r="B97" s="769"/>
      <c r="C97" s="783"/>
      <c r="D97" s="788"/>
      <c r="E97" s="783"/>
      <c r="F97" s="783"/>
      <c r="G97" s="789" t="s">
        <v>227</v>
      </c>
      <c r="H97" s="790">
        <f>W97</f>
        <v>2000000</v>
      </c>
      <c r="I97" s="790">
        <v>3000000</v>
      </c>
      <c r="J97" s="790">
        <f t="shared" si="23"/>
        <v>-1000000</v>
      </c>
      <c r="K97" s="693" t="s">
        <v>125</v>
      </c>
      <c r="L97" s="694" t="s">
        <v>237</v>
      </c>
      <c r="M97" s="695"/>
      <c r="N97" s="737"/>
      <c r="O97" s="738"/>
      <c r="P97" s="737"/>
      <c r="Q97" s="739"/>
      <c r="R97" s="738"/>
      <c r="S97" s="739"/>
      <c r="T97" s="739"/>
      <c r="U97" s="739"/>
      <c r="V97" s="791"/>
      <c r="W97" s="792">
        <f>V98</f>
        <v>2000000</v>
      </c>
      <c r="X97" s="793"/>
      <c r="Z97" s="541"/>
    </row>
    <row r="98" spans="1:28" s="539" customFormat="1" ht="16.350000000000001" customHeight="1" x14ac:dyDescent="0.3">
      <c r="B98" s="769"/>
      <c r="C98" s="783"/>
      <c r="D98" s="788"/>
      <c r="E98" s="783"/>
      <c r="F98" s="783"/>
      <c r="G98" s="819"/>
      <c r="H98" s="820"/>
      <c r="I98" s="820"/>
      <c r="J98" s="820"/>
      <c r="K98" s="821"/>
      <c r="L98" s="613" t="s">
        <v>417</v>
      </c>
      <c r="M98" s="615"/>
      <c r="N98" s="829"/>
      <c r="O98" s="705"/>
      <c r="P98" s="829">
        <v>100000</v>
      </c>
      <c r="Q98" s="705" t="s">
        <v>80</v>
      </c>
      <c r="R98" s="828">
        <v>2</v>
      </c>
      <c r="S98" s="705" t="s">
        <v>80</v>
      </c>
      <c r="T98" s="736">
        <v>10</v>
      </c>
      <c r="U98" s="705" t="s">
        <v>98</v>
      </c>
      <c r="V98" s="829">
        <f>P98*R98*T98</f>
        <v>2000000</v>
      </c>
      <c r="W98" s="822"/>
      <c r="X98" s="826"/>
      <c r="Z98" s="541"/>
    </row>
    <row r="99" spans="1:28" s="539" customFormat="1" ht="16.350000000000001" customHeight="1" x14ac:dyDescent="0.3">
      <c r="B99" s="769"/>
      <c r="C99" s="783"/>
      <c r="D99" s="788"/>
      <c r="E99" s="783"/>
      <c r="F99" s="784" t="s">
        <v>638</v>
      </c>
      <c r="G99" s="786"/>
      <c r="H99" s="790">
        <f>H100</f>
        <v>4251000</v>
      </c>
      <c r="I99" s="790">
        <f>I100</f>
        <v>15640000</v>
      </c>
      <c r="J99" s="790">
        <f t="shared" si="23"/>
        <v>-11389000</v>
      </c>
      <c r="K99" s="775"/>
      <c r="L99" s="694"/>
      <c r="M99" s="695"/>
      <c r="N99" s="737"/>
      <c r="O99" s="738"/>
      <c r="P99" s="737"/>
      <c r="Q99" s="739"/>
      <c r="R99" s="738"/>
      <c r="S99" s="739"/>
      <c r="T99" s="739"/>
      <c r="U99" s="739"/>
      <c r="V99" s="791"/>
      <c r="W99" s="792"/>
      <c r="X99" s="793"/>
      <c r="Z99" s="541"/>
    </row>
    <row r="100" spans="1:28" s="539" customFormat="1" ht="16.350000000000001" customHeight="1" x14ac:dyDescent="0.3">
      <c r="B100" s="769"/>
      <c r="C100" s="783"/>
      <c r="D100" s="788"/>
      <c r="E100" s="783"/>
      <c r="F100" s="783"/>
      <c r="G100" s="789" t="s">
        <v>547</v>
      </c>
      <c r="H100" s="790">
        <f>W100</f>
        <v>4251000</v>
      </c>
      <c r="I100" s="790">
        <v>15640000</v>
      </c>
      <c r="J100" s="790">
        <f t="shared" si="23"/>
        <v>-11389000</v>
      </c>
      <c r="K100" s="693" t="s">
        <v>125</v>
      </c>
      <c r="L100" s="694" t="s">
        <v>196</v>
      </c>
      <c r="M100" s="695"/>
      <c r="N100" s="737"/>
      <c r="O100" s="738"/>
      <c r="P100" s="737"/>
      <c r="Q100" s="739"/>
      <c r="R100" s="738"/>
      <c r="S100" s="739"/>
      <c r="T100" s="739"/>
      <c r="U100" s="739"/>
      <c r="V100" s="791"/>
      <c r="W100" s="792">
        <f>V101+V102</f>
        <v>4251000</v>
      </c>
      <c r="X100" s="793"/>
      <c r="Z100" s="541"/>
    </row>
    <row r="101" spans="1:28" s="539" customFormat="1" ht="16.350000000000001" customHeight="1" x14ac:dyDescent="0.3">
      <c r="B101" s="769"/>
      <c r="C101" s="783"/>
      <c r="D101" s="788"/>
      <c r="E101" s="783"/>
      <c r="F101" s="783"/>
      <c r="G101" s="783"/>
      <c r="H101" s="795"/>
      <c r="I101" s="795"/>
      <c r="J101" s="795"/>
      <c r="K101" s="796"/>
      <c r="L101" s="613" t="s">
        <v>526</v>
      </c>
      <c r="M101" s="615"/>
      <c r="N101" s="829"/>
      <c r="O101" s="705"/>
      <c r="P101" s="829">
        <v>200000</v>
      </c>
      <c r="Q101" s="705" t="s">
        <v>80</v>
      </c>
      <c r="R101" s="828">
        <v>1</v>
      </c>
      <c r="S101" s="705" t="s">
        <v>80</v>
      </c>
      <c r="T101" s="736">
        <v>10</v>
      </c>
      <c r="U101" s="705" t="s">
        <v>98</v>
      </c>
      <c r="V101" s="829">
        <f t="shared" ref="V101:V102" si="27">P101*T101</f>
        <v>2000000</v>
      </c>
      <c r="W101" s="801"/>
      <c r="X101" s="802"/>
    </row>
    <row r="102" spans="1:28" s="539" customFormat="1" ht="16.350000000000001" customHeight="1" x14ac:dyDescent="0.3">
      <c r="B102" s="769"/>
      <c r="C102" s="783"/>
      <c r="D102" s="788"/>
      <c r="E102" s="783"/>
      <c r="F102" s="783"/>
      <c r="G102" s="783"/>
      <c r="H102" s="820"/>
      <c r="I102" s="820"/>
      <c r="J102" s="820"/>
      <c r="K102" s="830"/>
      <c r="L102" s="797" t="s">
        <v>668</v>
      </c>
      <c r="M102" s="797"/>
      <c r="N102" s="844"/>
      <c r="O102" s="797"/>
      <c r="P102" s="799">
        <v>2251000</v>
      </c>
      <c r="Q102" s="740" t="s">
        <v>80</v>
      </c>
      <c r="R102" s="800">
        <v>1</v>
      </c>
      <c r="S102" s="740" t="s">
        <v>80</v>
      </c>
      <c r="T102" s="741">
        <v>1</v>
      </c>
      <c r="U102" s="740" t="s">
        <v>98</v>
      </c>
      <c r="V102" s="799">
        <f t="shared" si="27"/>
        <v>2251000</v>
      </c>
      <c r="W102" s="822"/>
      <c r="X102" s="826"/>
    </row>
    <row r="103" spans="1:28" s="539" customFormat="1" ht="16.350000000000001" customHeight="1" x14ac:dyDescent="0.3">
      <c r="B103" s="769"/>
      <c r="C103" s="783"/>
      <c r="D103" s="788"/>
      <c r="E103" s="783"/>
      <c r="F103" s="784" t="s">
        <v>634</v>
      </c>
      <c r="G103" s="789"/>
      <c r="H103" s="795">
        <f>H104</f>
        <v>0</v>
      </c>
      <c r="I103" s="795">
        <f>I104</f>
        <v>1000000</v>
      </c>
      <c r="J103" s="795">
        <f t="shared" ref="J103:J104" si="28">H103-I103</f>
        <v>-1000000</v>
      </c>
      <c r="K103" s="817"/>
      <c r="L103" s="734"/>
      <c r="M103" s="734"/>
      <c r="N103" s="734"/>
      <c r="O103" s="734"/>
      <c r="P103" s="734"/>
      <c r="Q103" s="734"/>
      <c r="R103" s="827"/>
      <c r="S103" s="828"/>
      <c r="T103" s="828"/>
      <c r="U103" s="828"/>
      <c r="V103" s="829"/>
      <c r="W103" s="801"/>
      <c r="X103" s="802"/>
    </row>
    <row r="104" spans="1:28" s="539" customFormat="1" ht="16.350000000000001" customHeight="1" x14ac:dyDescent="0.3">
      <c r="B104" s="769"/>
      <c r="C104" s="783"/>
      <c r="D104" s="788"/>
      <c r="E104" s="783"/>
      <c r="F104" s="783"/>
      <c r="G104" s="789" t="s">
        <v>634</v>
      </c>
      <c r="H104" s="774">
        <f>W104</f>
        <v>0</v>
      </c>
      <c r="I104" s="774">
        <v>1000000</v>
      </c>
      <c r="J104" s="774">
        <f t="shared" si="28"/>
        <v>-1000000</v>
      </c>
      <c r="K104" s="807"/>
      <c r="L104" s="809"/>
      <c r="M104" s="824"/>
      <c r="N104" s="825"/>
      <c r="O104" s="777"/>
      <c r="P104" s="825"/>
      <c r="Q104" s="778"/>
      <c r="R104" s="777"/>
      <c r="S104" s="778"/>
      <c r="T104" s="778"/>
      <c r="U104" s="778"/>
      <c r="V104" s="779"/>
      <c r="W104" s="780"/>
      <c r="X104" s="781"/>
    </row>
    <row r="105" spans="1:28" s="539" customFormat="1" ht="16.350000000000001" customHeight="1" x14ac:dyDescent="0.3">
      <c r="B105" s="769"/>
      <c r="C105" s="783"/>
      <c r="D105" s="788"/>
      <c r="E105" s="783"/>
      <c r="F105" s="784" t="s">
        <v>190</v>
      </c>
      <c r="G105" s="789"/>
      <c r="H105" s="795">
        <f>H106</f>
        <v>5000000</v>
      </c>
      <c r="I105" s="795">
        <f>I106</f>
        <v>10560000</v>
      </c>
      <c r="J105" s="795">
        <f t="shared" si="23"/>
        <v>-5560000</v>
      </c>
      <c r="K105" s="817"/>
      <c r="L105" s="734"/>
      <c r="M105" s="734"/>
      <c r="N105" s="734"/>
      <c r="O105" s="734"/>
      <c r="P105" s="734"/>
      <c r="Q105" s="734"/>
      <c r="R105" s="827"/>
      <c r="S105" s="828"/>
      <c r="T105" s="828"/>
      <c r="U105" s="828"/>
      <c r="V105" s="829"/>
      <c r="W105" s="801"/>
      <c r="X105" s="802"/>
      <c r="Z105" s="541"/>
    </row>
    <row r="106" spans="1:28" s="539" customFormat="1" ht="16.350000000000001" customHeight="1" x14ac:dyDescent="0.3">
      <c r="B106" s="769"/>
      <c r="C106" s="783"/>
      <c r="D106" s="788"/>
      <c r="E106" s="783"/>
      <c r="F106" s="783"/>
      <c r="G106" s="789" t="s">
        <v>190</v>
      </c>
      <c r="H106" s="790">
        <f>W106</f>
        <v>5000000</v>
      </c>
      <c r="I106" s="790">
        <v>10560000</v>
      </c>
      <c r="J106" s="790">
        <f t="shared" si="23"/>
        <v>-5560000</v>
      </c>
      <c r="K106" s="693" t="s">
        <v>125</v>
      </c>
      <c r="L106" s="694" t="s">
        <v>126</v>
      </c>
      <c r="M106" s="695"/>
      <c r="N106" s="737"/>
      <c r="O106" s="738"/>
      <c r="P106" s="737"/>
      <c r="Q106" s="739"/>
      <c r="R106" s="738"/>
      <c r="S106" s="739"/>
      <c r="T106" s="739"/>
      <c r="U106" s="739"/>
      <c r="V106" s="791"/>
      <c r="W106" s="792">
        <f>V107</f>
        <v>5000000</v>
      </c>
      <c r="X106" s="793"/>
      <c r="Z106" s="541"/>
    </row>
    <row r="107" spans="1:28" s="539" customFormat="1" ht="16.350000000000001" customHeight="1" x14ac:dyDescent="0.3">
      <c r="B107" s="769"/>
      <c r="C107" s="783"/>
      <c r="D107" s="788"/>
      <c r="E107" s="783"/>
      <c r="F107" s="783"/>
      <c r="G107" s="819"/>
      <c r="H107" s="820"/>
      <c r="I107" s="820"/>
      <c r="J107" s="820"/>
      <c r="K107" s="821"/>
      <c r="L107" s="613" t="s">
        <v>656</v>
      </c>
      <c r="M107" s="615"/>
      <c r="N107" s="829"/>
      <c r="O107" s="705"/>
      <c r="P107" s="829">
        <v>5000000</v>
      </c>
      <c r="Q107" s="705"/>
      <c r="R107" s="828"/>
      <c r="S107" s="705" t="s">
        <v>80</v>
      </c>
      <c r="T107" s="831">
        <v>1</v>
      </c>
      <c r="U107" s="705" t="s">
        <v>98</v>
      </c>
      <c r="V107" s="829">
        <f>P107*T107</f>
        <v>5000000</v>
      </c>
      <c r="W107" s="822"/>
      <c r="X107" s="826"/>
      <c r="Z107" s="541"/>
    </row>
    <row r="108" spans="1:28" s="40" customFormat="1" ht="16.350000000000001" customHeight="1" x14ac:dyDescent="0.3">
      <c r="A108" s="449"/>
      <c r="B108" s="2022" t="s">
        <v>414</v>
      </c>
      <c r="C108" s="2023"/>
      <c r="D108" s="2023"/>
      <c r="E108" s="2023"/>
      <c r="F108" s="2023"/>
      <c r="G108" s="2024"/>
      <c r="H108" s="754">
        <v>0</v>
      </c>
      <c r="I108" s="1746">
        <v>1911343000</v>
      </c>
      <c r="J108" s="1746">
        <f>H108-I108</f>
        <v>-1911343000</v>
      </c>
      <c r="K108" s="755"/>
      <c r="L108" s="756"/>
      <c r="M108" s="756"/>
      <c r="N108" s="757"/>
      <c r="O108" s="757"/>
      <c r="P108" s="757"/>
      <c r="Q108" s="756"/>
      <c r="R108" s="757"/>
      <c r="S108" s="756"/>
      <c r="T108" s="756"/>
      <c r="U108" s="756"/>
      <c r="V108" s="758"/>
      <c r="W108" s="759"/>
      <c r="X108" s="760"/>
      <c r="AB108" s="72"/>
    </row>
    <row r="109" spans="1:28" s="539" customFormat="1" ht="16.350000000000001" customHeight="1" x14ac:dyDescent="0.3">
      <c r="A109" s="540"/>
      <c r="B109" s="2016" t="s">
        <v>786</v>
      </c>
      <c r="C109" s="2017"/>
      <c r="D109" s="2017"/>
      <c r="E109" s="2017"/>
      <c r="F109" s="2017"/>
      <c r="G109" s="2018"/>
      <c r="H109" s="762">
        <v>0</v>
      </c>
      <c r="I109" s="762">
        <v>30000000</v>
      </c>
      <c r="J109" s="1746">
        <f>H109-I109</f>
        <v>-30000000</v>
      </c>
      <c r="K109" s="763"/>
      <c r="L109" s="764"/>
      <c r="M109" s="764"/>
      <c r="N109" s="765"/>
      <c r="O109" s="765"/>
      <c r="P109" s="765"/>
      <c r="Q109" s="764"/>
      <c r="R109" s="765"/>
      <c r="S109" s="764"/>
      <c r="T109" s="764"/>
      <c r="U109" s="764"/>
      <c r="V109" s="766"/>
      <c r="W109" s="767"/>
      <c r="X109" s="768"/>
    </row>
    <row r="110" spans="1:28" s="539" customFormat="1" ht="16.350000000000001" customHeight="1" x14ac:dyDescent="0.3">
      <c r="B110" s="2016" t="s">
        <v>475</v>
      </c>
      <c r="C110" s="2017"/>
      <c r="D110" s="2017"/>
      <c r="E110" s="2017"/>
      <c r="F110" s="2017"/>
      <c r="G110" s="2018"/>
      <c r="H110" s="762">
        <v>0</v>
      </c>
      <c r="I110" s="762">
        <v>1800000</v>
      </c>
      <c r="J110" s="847">
        <f>H110-I110</f>
        <v>-1800000</v>
      </c>
      <c r="K110" s="763"/>
      <c r="L110" s="764"/>
      <c r="M110" s="764"/>
      <c r="N110" s="765"/>
      <c r="O110" s="765"/>
      <c r="P110" s="765"/>
      <c r="Q110" s="764"/>
      <c r="R110" s="765"/>
      <c r="S110" s="764"/>
      <c r="T110" s="764"/>
      <c r="U110" s="764"/>
      <c r="V110" s="766"/>
      <c r="W110" s="767"/>
      <c r="X110" s="768"/>
      <c r="Z110" s="541"/>
    </row>
    <row r="111" spans="1:28" s="66" customFormat="1" ht="16.350000000000001" customHeight="1" x14ac:dyDescent="0.3">
      <c r="B111" s="868" t="s">
        <v>427</v>
      </c>
      <c r="C111" s="508"/>
      <c r="D111" s="508"/>
      <c r="E111" s="508"/>
      <c r="F111" s="508"/>
      <c r="G111" s="508"/>
      <c r="H111" s="869">
        <v>0</v>
      </c>
      <c r="I111" s="869">
        <v>0</v>
      </c>
      <c r="J111" s="869">
        <v>0</v>
      </c>
      <c r="K111" s="507"/>
      <c r="L111" s="508"/>
      <c r="M111" s="508"/>
      <c r="N111" s="509"/>
      <c r="O111" s="509"/>
      <c r="P111" s="509"/>
      <c r="Q111" s="508"/>
      <c r="R111" s="509"/>
      <c r="S111" s="508"/>
      <c r="T111" s="508"/>
      <c r="U111" s="508"/>
      <c r="V111" s="510"/>
      <c r="W111" s="511"/>
      <c r="X111" s="512"/>
      <c r="Y111" s="37"/>
      <c r="AA111" s="40"/>
      <c r="AB111" s="72"/>
    </row>
    <row r="112" spans="1:28" s="65" customFormat="1" ht="15.95" customHeight="1" x14ac:dyDescent="0.3">
      <c r="B112" s="987" t="s">
        <v>687</v>
      </c>
      <c r="C112" s="988"/>
      <c r="D112" s="988"/>
      <c r="E112" s="988"/>
      <c r="F112" s="988"/>
      <c r="G112" s="988"/>
      <c r="H112" s="989">
        <f>H113+H225+H249</f>
        <v>463280000</v>
      </c>
      <c r="I112" s="989">
        <f>I113+I225+I249</f>
        <v>381160000</v>
      </c>
      <c r="J112" s="989">
        <f>H112-I112</f>
        <v>82120000</v>
      </c>
      <c r="K112" s="990"/>
      <c r="L112" s="988"/>
      <c r="M112" s="988"/>
      <c r="N112" s="991"/>
      <c r="O112" s="992"/>
      <c r="P112" s="992"/>
      <c r="Q112" s="988"/>
      <c r="R112" s="992"/>
      <c r="S112" s="988"/>
      <c r="T112" s="988"/>
      <c r="U112" s="988"/>
      <c r="V112" s="991"/>
      <c r="W112" s="993"/>
      <c r="X112" s="994"/>
    </row>
    <row r="113" spans="2:28" s="65" customFormat="1" ht="15.95" customHeight="1" x14ac:dyDescent="0.3">
      <c r="B113" s="884"/>
      <c r="C113" s="81" t="s">
        <v>538</v>
      </c>
      <c r="D113" s="885"/>
      <c r="E113" s="88"/>
      <c r="F113" s="88"/>
      <c r="G113" s="86"/>
      <c r="H113" s="886">
        <f>H114+H220</f>
        <v>450080000</v>
      </c>
      <c r="I113" s="886">
        <f>I114+I220</f>
        <v>381160000</v>
      </c>
      <c r="J113" s="1744">
        <f t="shared" ref="J113:J115" si="29">H113-I113</f>
        <v>68920000</v>
      </c>
      <c r="K113" s="117"/>
      <c r="L113" s="887"/>
      <c r="M113" s="887"/>
      <c r="N113" s="888"/>
      <c r="O113" s="889"/>
      <c r="P113" s="890"/>
      <c r="Q113" s="891"/>
      <c r="R113" s="889"/>
      <c r="S113" s="891"/>
      <c r="T113" s="891"/>
      <c r="U113" s="891"/>
      <c r="V113" s="888"/>
      <c r="W113" s="892"/>
      <c r="X113" s="118"/>
      <c r="Z113" s="66"/>
    </row>
    <row r="114" spans="2:28" s="65" customFormat="1" ht="15.6" customHeight="1" x14ac:dyDescent="0.3">
      <c r="B114" s="250"/>
      <c r="C114" s="84"/>
      <c r="D114" s="75" t="s">
        <v>643</v>
      </c>
      <c r="E114" s="83"/>
      <c r="F114" s="83"/>
      <c r="G114" s="85"/>
      <c r="H114" s="76">
        <f>H115+H220</f>
        <v>450080000</v>
      </c>
      <c r="I114" s="76">
        <f>I115</f>
        <v>381160000</v>
      </c>
      <c r="J114" s="1744">
        <f t="shared" si="29"/>
        <v>68920000</v>
      </c>
      <c r="K114" s="82"/>
      <c r="L114" s="83"/>
      <c r="M114" s="83"/>
      <c r="N114" s="893"/>
      <c r="O114" s="894"/>
      <c r="P114" s="895"/>
      <c r="Q114" s="896"/>
      <c r="R114" s="894"/>
      <c r="S114" s="896"/>
      <c r="T114" s="896"/>
      <c r="U114" s="896"/>
      <c r="V114" s="893"/>
      <c r="W114" s="28"/>
      <c r="X114" s="897"/>
    </row>
    <row r="115" spans="2:28" s="65" customFormat="1" ht="15.6" customHeight="1" x14ac:dyDescent="0.3">
      <c r="B115" s="250"/>
      <c r="C115" s="84"/>
      <c r="D115" s="81"/>
      <c r="E115" s="85" t="s">
        <v>628</v>
      </c>
      <c r="F115" s="82"/>
      <c r="G115" s="86"/>
      <c r="H115" s="76">
        <f>H116+H166+H173+H175+H178+H180+H185+H190+H199+H205+H208+H210+H216+H218</f>
        <v>450080000</v>
      </c>
      <c r="I115" s="76">
        <f>I116+I166+I173+I175+I178+I180+I185+I190+I199+I205+I208+I210+I216+I218</f>
        <v>381160000</v>
      </c>
      <c r="J115" s="1744">
        <f t="shared" si="29"/>
        <v>68920000</v>
      </c>
      <c r="K115" s="82"/>
      <c r="L115" s="87"/>
      <c r="M115" s="88"/>
      <c r="N115" s="89"/>
      <c r="O115" s="90"/>
      <c r="P115" s="91"/>
      <c r="Q115" s="92"/>
      <c r="R115" s="90"/>
      <c r="S115" s="92"/>
      <c r="T115" s="92"/>
      <c r="U115" s="92"/>
      <c r="V115" s="89"/>
      <c r="W115" s="27"/>
      <c r="X115" s="93"/>
    </row>
    <row r="116" spans="2:28" s="65" customFormat="1" ht="15.6" customHeight="1" x14ac:dyDescent="0.3">
      <c r="B116" s="251"/>
      <c r="C116" s="94"/>
      <c r="D116" s="94"/>
      <c r="E116" s="94"/>
      <c r="F116" s="95" t="s">
        <v>551</v>
      </c>
      <c r="G116" s="95"/>
      <c r="H116" s="96">
        <f>H117+H151+H157+H159+H161+H165</f>
        <v>92040000</v>
      </c>
      <c r="I116" s="96">
        <f>I117+I151+I157+I159+I161+I165</f>
        <v>88560000</v>
      </c>
      <c r="J116" s="96">
        <f>J117+J151+J157+J159+J161+J165</f>
        <v>3480000</v>
      </c>
      <c r="K116" s="97"/>
      <c r="L116" s="98"/>
      <c r="M116" s="99"/>
      <c r="N116" s="100"/>
      <c r="O116" s="101"/>
      <c r="P116" s="102"/>
      <c r="Q116" s="103"/>
      <c r="R116" s="104"/>
      <c r="S116" s="103"/>
      <c r="T116" s="105"/>
      <c r="U116" s="103"/>
      <c r="V116" s="100"/>
      <c r="W116" s="28"/>
      <c r="X116" s="106"/>
      <c r="Z116" s="66"/>
    </row>
    <row r="117" spans="2:28" s="65" customFormat="1" ht="15.6" customHeight="1" x14ac:dyDescent="0.3">
      <c r="B117" s="251"/>
      <c r="C117" s="94"/>
      <c r="D117" s="94"/>
      <c r="E117" s="94"/>
      <c r="F117" s="107"/>
      <c r="G117" s="107" t="s">
        <v>650</v>
      </c>
      <c r="H117" s="108">
        <f>W117</f>
        <v>54240000</v>
      </c>
      <c r="I117" s="108">
        <v>49760000</v>
      </c>
      <c r="J117" s="108">
        <f t="shared" ref="J117:J186" si="30">H117-I117</f>
        <v>4480000</v>
      </c>
      <c r="K117" s="109" t="s">
        <v>125</v>
      </c>
      <c r="L117" s="694" t="s">
        <v>180</v>
      </c>
      <c r="M117" s="695"/>
      <c r="N117" s="791"/>
      <c r="O117" s="953"/>
      <c r="P117" s="791"/>
      <c r="Q117" s="954"/>
      <c r="R117" s="738"/>
      <c r="S117" s="936"/>
      <c r="T117" s="739"/>
      <c r="U117" s="936"/>
      <c r="V117" s="791"/>
      <c r="W117" s="801">
        <f>SUM(W118:W150)</f>
        <v>54240000</v>
      </c>
      <c r="X117" s="80"/>
    </row>
    <row r="118" spans="2:28" s="40" customFormat="1" ht="15.95" customHeight="1" x14ac:dyDescent="0.3">
      <c r="B118" s="542"/>
      <c r="C118" s="518"/>
      <c r="D118" s="519"/>
      <c r="E118" s="520"/>
      <c r="F118" s="521"/>
      <c r="G118" s="543"/>
      <c r="H118" s="522"/>
      <c r="I118" s="522"/>
      <c r="J118" s="523"/>
      <c r="K118" s="116" t="s">
        <v>66</v>
      </c>
      <c r="L118" s="624" t="s">
        <v>279</v>
      </c>
      <c r="M118" s="915"/>
      <c r="N118" s="916"/>
      <c r="O118" s="901"/>
      <c r="P118" s="900"/>
      <c r="Q118" s="901"/>
      <c r="R118" s="902"/>
      <c r="S118" s="901"/>
      <c r="T118" s="903"/>
      <c r="U118" s="901"/>
      <c r="V118" s="904"/>
      <c r="W118" s="937">
        <f>SUM(V119:V150)</f>
        <v>54240000</v>
      </c>
      <c r="X118" s="524"/>
      <c r="Y118" s="435"/>
      <c r="AB118" s="72"/>
    </row>
    <row r="119" spans="2:28" s="7" customFormat="1" ht="16.5" customHeight="1" x14ac:dyDescent="0.3">
      <c r="B119" s="251"/>
      <c r="C119" s="94"/>
      <c r="D119" s="79"/>
      <c r="E119" s="94"/>
      <c r="F119" s="94"/>
      <c r="G119" s="94"/>
      <c r="H119" s="115"/>
      <c r="I119" s="115"/>
      <c r="J119" s="115"/>
      <c r="K119" s="116"/>
      <c r="L119" s="613" t="s">
        <v>666</v>
      </c>
      <c r="M119" s="615"/>
      <c r="N119" s="829"/>
      <c r="O119" s="705"/>
      <c r="P119" s="829">
        <v>100000</v>
      </c>
      <c r="Q119" s="705" t="s">
        <v>80</v>
      </c>
      <c r="R119" s="828">
        <v>1</v>
      </c>
      <c r="S119" s="846" t="s">
        <v>80</v>
      </c>
      <c r="T119" s="733">
        <v>5</v>
      </c>
      <c r="U119" s="846" t="s">
        <v>98</v>
      </c>
      <c r="V119" s="829">
        <f>P119*T119*R119</f>
        <v>500000</v>
      </c>
      <c r="W119" s="801"/>
      <c r="X119" s="80"/>
      <c r="Z119" s="317"/>
    </row>
    <row r="120" spans="2:28" s="7" customFormat="1" ht="16.5" customHeight="1" x14ac:dyDescent="0.3">
      <c r="B120" s="251"/>
      <c r="C120" s="94"/>
      <c r="D120" s="79"/>
      <c r="E120" s="94"/>
      <c r="F120" s="94"/>
      <c r="G120" s="94"/>
      <c r="H120" s="115"/>
      <c r="I120" s="115"/>
      <c r="J120" s="115"/>
      <c r="K120" s="116"/>
      <c r="L120" s="613" t="s">
        <v>658</v>
      </c>
      <c r="M120" s="615"/>
      <c r="N120" s="829"/>
      <c r="O120" s="705"/>
      <c r="P120" s="829">
        <v>100000</v>
      </c>
      <c r="Q120" s="705" t="s">
        <v>80</v>
      </c>
      <c r="R120" s="828">
        <v>1</v>
      </c>
      <c r="S120" s="846" t="s">
        <v>80</v>
      </c>
      <c r="T120" s="733">
        <v>3</v>
      </c>
      <c r="U120" s="846" t="s">
        <v>98</v>
      </c>
      <c r="V120" s="829">
        <f t="shared" ref="V120:V150" si="31">P120*T120*R120</f>
        <v>300000</v>
      </c>
      <c r="W120" s="801"/>
      <c r="X120" s="80"/>
      <c r="Z120" s="317"/>
    </row>
    <row r="121" spans="2:28" s="7" customFormat="1" ht="16.5" customHeight="1" x14ac:dyDescent="0.3">
      <c r="B121" s="251"/>
      <c r="C121" s="94"/>
      <c r="D121" s="79"/>
      <c r="E121" s="94"/>
      <c r="F121" s="94"/>
      <c r="G121" s="94"/>
      <c r="H121" s="115"/>
      <c r="I121" s="115"/>
      <c r="J121" s="115"/>
      <c r="K121" s="116"/>
      <c r="L121" s="613" t="s">
        <v>393</v>
      </c>
      <c r="M121" s="615"/>
      <c r="N121" s="829"/>
      <c r="O121" s="705"/>
      <c r="P121" s="829">
        <v>100000</v>
      </c>
      <c r="Q121" s="705" t="s">
        <v>80</v>
      </c>
      <c r="R121" s="828">
        <v>1</v>
      </c>
      <c r="S121" s="846" t="s">
        <v>80</v>
      </c>
      <c r="T121" s="733">
        <v>10</v>
      </c>
      <c r="U121" s="846" t="s">
        <v>98</v>
      </c>
      <c r="V121" s="829">
        <f t="shared" si="31"/>
        <v>1000000</v>
      </c>
      <c r="W121" s="801"/>
      <c r="X121" s="80"/>
      <c r="Z121" s="317"/>
    </row>
    <row r="122" spans="2:28" s="7" customFormat="1" ht="16.5" customHeight="1" x14ac:dyDescent="0.3">
      <c r="B122" s="251"/>
      <c r="C122" s="94"/>
      <c r="D122" s="79"/>
      <c r="E122" s="94"/>
      <c r="F122" s="94"/>
      <c r="G122" s="94"/>
      <c r="H122" s="115"/>
      <c r="I122" s="115"/>
      <c r="J122" s="115"/>
      <c r="K122" s="116"/>
      <c r="L122" s="613" t="s">
        <v>384</v>
      </c>
      <c r="M122" s="615"/>
      <c r="N122" s="829"/>
      <c r="O122" s="705"/>
      <c r="P122" s="829">
        <v>500000</v>
      </c>
      <c r="Q122" s="705" t="s">
        <v>80</v>
      </c>
      <c r="R122" s="828">
        <v>1</v>
      </c>
      <c r="S122" s="846" t="s">
        <v>80</v>
      </c>
      <c r="T122" s="733">
        <v>2</v>
      </c>
      <c r="U122" s="846" t="s">
        <v>98</v>
      </c>
      <c r="V122" s="829">
        <f t="shared" si="31"/>
        <v>1000000</v>
      </c>
      <c r="W122" s="801"/>
      <c r="X122" s="80"/>
      <c r="Z122" s="317"/>
    </row>
    <row r="123" spans="2:28" s="3" customFormat="1" ht="16.5" customHeight="1" x14ac:dyDescent="0.3">
      <c r="B123" s="251"/>
      <c r="C123" s="94"/>
      <c r="D123" s="6"/>
      <c r="E123" s="94"/>
      <c r="F123" s="94"/>
      <c r="G123" s="94"/>
      <c r="H123" s="115"/>
      <c r="I123" s="115"/>
      <c r="J123" s="115"/>
      <c r="K123" s="116"/>
      <c r="L123" s="613" t="s">
        <v>787</v>
      </c>
      <c r="M123" s="615"/>
      <c r="N123" s="829"/>
      <c r="O123" s="705"/>
      <c r="P123" s="829">
        <v>100000</v>
      </c>
      <c r="Q123" s="705" t="s">
        <v>80</v>
      </c>
      <c r="R123" s="828">
        <v>1</v>
      </c>
      <c r="S123" s="705" t="s">
        <v>80</v>
      </c>
      <c r="T123" s="736">
        <v>10</v>
      </c>
      <c r="U123" s="705" t="s">
        <v>98</v>
      </c>
      <c r="V123" s="829">
        <f t="shared" si="31"/>
        <v>1000000</v>
      </c>
      <c r="W123" s="801"/>
      <c r="X123" s="80"/>
      <c r="Z123" s="297"/>
    </row>
    <row r="124" spans="2:28" s="7" customFormat="1" ht="16.5" customHeight="1" x14ac:dyDescent="0.3">
      <c r="B124" s="251"/>
      <c r="C124" s="94"/>
      <c r="D124" s="79"/>
      <c r="E124" s="94"/>
      <c r="F124" s="94"/>
      <c r="G124" s="94"/>
      <c r="H124" s="115"/>
      <c r="I124" s="115"/>
      <c r="J124" s="115"/>
      <c r="K124" s="116"/>
      <c r="L124" s="613" t="s">
        <v>773</v>
      </c>
      <c r="M124" s="615"/>
      <c r="N124" s="829"/>
      <c r="O124" s="705"/>
      <c r="P124" s="829">
        <v>200000</v>
      </c>
      <c r="Q124" s="705" t="s">
        <v>80</v>
      </c>
      <c r="R124" s="828">
        <v>1</v>
      </c>
      <c r="S124" s="705" t="s">
        <v>80</v>
      </c>
      <c r="T124" s="736">
        <v>4</v>
      </c>
      <c r="U124" s="705" t="s">
        <v>98</v>
      </c>
      <c r="V124" s="829">
        <f t="shared" si="31"/>
        <v>800000</v>
      </c>
      <c r="W124" s="801"/>
      <c r="X124" s="80"/>
      <c r="Z124" s="317"/>
    </row>
    <row r="125" spans="2:28" s="7" customFormat="1" ht="16.5" customHeight="1" x14ac:dyDescent="0.3">
      <c r="B125" s="251"/>
      <c r="C125" s="94"/>
      <c r="D125" s="79"/>
      <c r="E125" s="94"/>
      <c r="F125" s="94"/>
      <c r="G125" s="94"/>
      <c r="H125" s="115"/>
      <c r="I125" s="115"/>
      <c r="J125" s="115"/>
      <c r="K125" s="116"/>
      <c r="L125" s="613" t="s">
        <v>495</v>
      </c>
      <c r="M125" s="615"/>
      <c r="N125" s="829"/>
      <c r="O125" s="705"/>
      <c r="P125" s="829">
        <v>100000</v>
      </c>
      <c r="Q125" s="705" t="s">
        <v>80</v>
      </c>
      <c r="R125" s="828">
        <v>1</v>
      </c>
      <c r="S125" s="846" t="s">
        <v>80</v>
      </c>
      <c r="T125" s="733">
        <v>12</v>
      </c>
      <c r="U125" s="846" t="s">
        <v>98</v>
      </c>
      <c r="V125" s="829">
        <f t="shared" si="31"/>
        <v>1200000</v>
      </c>
      <c r="W125" s="801"/>
      <c r="X125" s="80"/>
      <c r="Z125" s="317"/>
    </row>
    <row r="126" spans="2:28" s="7" customFormat="1" ht="15.95" customHeight="1" x14ac:dyDescent="0.3">
      <c r="B126" s="251"/>
      <c r="C126" s="94"/>
      <c r="D126" s="79"/>
      <c r="E126" s="94"/>
      <c r="F126" s="94"/>
      <c r="G126" s="94"/>
      <c r="H126" s="115"/>
      <c r="I126" s="115"/>
      <c r="J126" s="115"/>
      <c r="K126" s="116"/>
      <c r="L126" s="613" t="s">
        <v>394</v>
      </c>
      <c r="M126" s="615"/>
      <c r="N126" s="829"/>
      <c r="O126" s="705"/>
      <c r="P126" s="829">
        <v>100000</v>
      </c>
      <c r="Q126" s="705" t="s">
        <v>80</v>
      </c>
      <c r="R126" s="828">
        <v>1</v>
      </c>
      <c r="S126" s="846" t="s">
        <v>80</v>
      </c>
      <c r="T126" s="733">
        <v>10</v>
      </c>
      <c r="U126" s="846" t="s">
        <v>98</v>
      </c>
      <c r="V126" s="829">
        <f t="shared" si="31"/>
        <v>1000000</v>
      </c>
      <c r="W126" s="801"/>
      <c r="X126" s="80"/>
      <c r="Z126" s="317"/>
    </row>
    <row r="127" spans="2:28" s="7" customFormat="1" ht="15.95" customHeight="1" x14ac:dyDescent="0.3">
      <c r="B127" s="251"/>
      <c r="C127" s="94"/>
      <c r="D127" s="79"/>
      <c r="E127" s="94"/>
      <c r="F127" s="94"/>
      <c r="G127" s="94"/>
      <c r="H127" s="115"/>
      <c r="I127" s="115"/>
      <c r="J127" s="115"/>
      <c r="K127" s="116"/>
      <c r="L127" s="613" t="s">
        <v>655</v>
      </c>
      <c r="M127" s="613"/>
      <c r="N127" s="732"/>
      <c r="O127" s="613"/>
      <c r="P127" s="829">
        <v>200000</v>
      </c>
      <c r="Q127" s="705" t="s">
        <v>80</v>
      </c>
      <c r="R127" s="733">
        <v>1</v>
      </c>
      <c r="S127" s="846" t="s">
        <v>80</v>
      </c>
      <c r="T127" s="733">
        <v>2</v>
      </c>
      <c r="U127" s="846" t="s">
        <v>98</v>
      </c>
      <c r="V127" s="829">
        <f t="shared" si="31"/>
        <v>400000</v>
      </c>
      <c r="W127" s="801"/>
      <c r="X127" s="80"/>
      <c r="Z127" s="317"/>
    </row>
    <row r="128" spans="2:28" s="7" customFormat="1" ht="15.95" customHeight="1" x14ac:dyDescent="0.3">
      <c r="B128" s="251"/>
      <c r="C128" s="94"/>
      <c r="D128" s="79"/>
      <c r="E128" s="94"/>
      <c r="F128" s="94"/>
      <c r="G128" s="94"/>
      <c r="H128" s="115"/>
      <c r="I128" s="115"/>
      <c r="J128" s="115"/>
      <c r="K128" s="116"/>
      <c r="L128" s="613" t="s">
        <v>382</v>
      </c>
      <c r="M128" s="615"/>
      <c r="N128" s="829"/>
      <c r="O128" s="705"/>
      <c r="P128" s="829">
        <v>4000000</v>
      </c>
      <c r="Q128" s="705" t="s">
        <v>80</v>
      </c>
      <c r="R128" s="733">
        <v>1</v>
      </c>
      <c r="S128" s="846" t="s">
        <v>80</v>
      </c>
      <c r="T128" s="733">
        <v>1</v>
      </c>
      <c r="U128" s="846" t="s">
        <v>98</v>
      </c>
      <c r="V128" s="829">
        <f t="shared" si="31"/>
        <v>4000000</v>
      </c>
      <c r="W128" s="801"/>
      <c r="X128" s="80"/>
      <c r="Z128" s="317"/>
    </row>
    <row r="129" spans="1:34" s="7" customFormat="1" ht="15.95" customHeight="1" x14ac:dyDescent="0.3">
      <c r="B129" s="251"/>
      <c r="C129" s="94"/>
      <c r="D129" s="79"/>
      <c r="E129" s="94"/>
      <c r="F129" s="94"/>
      <c r="G129" s="94"/>
      <c r="H129" s="115"/>
      <c r="I129" s="115"/>
      <c r="J129" s="115"/>
      <c r="K129" s="116"/>
      <c r="L129" s="613" t="s">
        <v>378</v>
      </c>
      <c r="M129" s="615"/>
      <c r="N129" s="829"/>
      <c r="O129" s="705"/>
      <c r="P129" s="829">
        <v>150000</v>
      </c>
      <c r="Q129" s="705" t="s">
        <v>80</v>
      </c>
      <c r="R129" s="828">
        <v>1</v>
      </c>
      <c r="S129" s="846" t="s">
        <v>80</v>
      </c>
      <c r="T129" s="733">
        <v>12</v>
      </c>
      <c r="U129" s="846" t="s">
        <v>98</v>
      </c>
      <c r="V129" s="829">
        <f t="shared" si="31"/>
        <v>1800000</v>
      </c>
      <c r="W129" s="801"/>
      <c r="X129" s="80"/>
      <c r="Z129" s="317"/>
    </row>
    <row r="130" spans="1:34" s="7" customFormat="1" ht="15.95" customHeight="1" x14ac:dyDescent="0.3">
      <c r="B130" s="251"/>
      <c r="C130" s="94"/>
      <c r="D130" s="79"/>
      <c r="E130" s="94"/>
      <c r="F130" s="94"/>
      <c r="G130" s="94"/>
      <c r="H130" s="115"/>
      <c r="I130" s="115"/>
      <c r="J130" s="115"/>
      <c r="K130" s="116"/>
      <c r="L130" s="613" t="s">
        <v>661</v>
      </c>
      <c r="M130" s="613"/>
      <c r="N130" s="732"/>
      <c r="O130" s="613"/>
      <c r="P130" s="829">
        <v>250000</v>
      </c>
      <c r="Q130" s="705" t="s">
        <v>80</v>
      </c>
      <c r="R130" s="828">
        <v>1</v>
      </c>
      <c r="S130" s="846" t="s">
        <v>80</v>
      </c>
      <c r="T130" s="733">
        <v>12</v>
      </c>
      <c r="U130" s="846" t="s">
        <v>98</v>
      </c>
      <c r="V130" s="829">
        <f t="shared" si="31"/>
        <v>3000000</v>
      </c>
      <c r="W130" s="801"/>
      <c r="X130" s="80"/>
      <c r="Z130" s="317"/>
    </row>
    <row r="131" spans="1:34" s="3" customFormat="1" ht="15.95" customHeight="1" x14ac:dyDescent="0.3">
      <c r="B131" s="251"/>
      <c r="C131" s="94"/>
      <c r="D131" s="6"/>
      <c r="E131" s="94"/>
      <c r="F131" s="94"/>
      <c r="G131" s="94"/>
      <c r="H131" s="115"/>
      <c r="I131" s="115"/>
      <c r="J131" s="115"/>
      <c r="K131" s="116"/>
      <c r="L131" s="613" t="s">
        <v>708</v>
      </c>
      <c r="M131" s="613"/>
      <c r="N131" s="732"/>
      <c r="O131" s="613"/>
      <c r="P131" s="829">
        <v>200000</v>
      </c>
      <c r="Q131" s="705" t="s">
        <v>80</v>
      </c>
      <c r="R131" s="828">
        <v>1</v>
      </c>
      <c r="S131" s="846" t="s">
        <v>80</v>
      </c>
      <c r="T131" s="733">
        <v>4</v>
      </c>
      <c r="U131" s="846" t="s">
        <v>98</v>
      </c>
      <c r="V131" s="829">
        <f t="shared" si="31"/>
        <v>800000</v>
      </c>
      <c r="W131" s="801"/>
      <c r="X131" s="80"/>
      <c r="Z131" s="297"/>
    </row>
    <row r="132" spans="1:34" s="7" customFormat="1" ht="15.95" customHeight="1" x14ac:dyDescent="0.3">
      <c r="B132" s="251"/>
      <c r="C132" s="94"/>
      <c r="D132" s="79"/>
      <c r="E132" s="94"/>
      <c r="F132" s="94"/>
      <c r="G132" s="94"/>
      <c r="H132" s="115"/>
      <c r="I132" s="115"/>
      <c r="J132" s="115"/>
      <c r="K132" s="116"/>
      <c r="L132" s="613" t="s">
        <v>660</v>
      </c>
      <c r="M132" s="615"/>
      <c r="N132" s="829"/>
      <c r="O132" s="705"/>
      <c r="P132" s="829">
        <v>140000</v>
      </c>
      <c r="Q132" s="705" t="s">
        <v>80</v>
      </c>
      <c r="R132" s="828">
        <v>1</v>
      </c>
      <c r="S132" s="846" t="s">
        <v>80</v>
      </c>
      <c r="T132" s="733">
        <v>4</v>
      </c>
      <c r="U132" s="846" t="s">
        <v>98</v>
      </c>
      <c r="V132" s="829">
        <f t="shared" si="31"/>
        <v>560000</v>
      </c>
      <c r="W132" s="801"/>
      <c r="X132" s="80"/>
      <c r="Z132" s="317"/>
    </row>
    <row r="133" spans="1:34" s="7" customFormat="1" ht="15.95" customHeight="1" x14ac:dyDescent="0.3">
      <c r="B133" s="251"/>
      <c r="C133" s="94"/>
      <c r="D133" s="79"/>
      <c r="E133" s="94"/>
      <c r="F133" s="94"/>
      <c r="G133" s="94"/>
      <c r="H133" s="115"/>
      <c r="I133" s="115"/>
      <c r="J133" s="115"/>
      <c r="K133" s="116"/>
      <c r="L133" s="613" t="s">
        <v>667</v>
      </c>
      <c r="M133" s="615"/>
      <c r="N133" s="829"/>
      <c r="O133" s="705"/>
      <c r="P133" s="829">
        <v>700000</v>
      </c>
      <c r="Q133" s="705" t="s">
        <v>80</v>
      </c>
      <c r="R133" s="828">
        <v>1</v>
      </c>
      <c r="S133" s="846" t="s">
        <v>80</v>
      </c>
      <c r="T133" s="733">
        <v>2</v>
      </c>
      <c r="U133" s="846" t="s">
        <v>98</v>
      </c>
      <c r="V133" s="829">
        <f t="shared" si="31"/>
        <v>1400000</v>
      </c>
      <c r="W133" s="801"/>
      <c r="X133" s="80"/>
      <c r="Z133" s="317"/>
    </row>
    <row r="134" spans="1:34" s="7" customFormat="1" ht="15.95" customHeight="1" x14ac:dyDescent="0.3">
      <c r="B134" s="251"/>
      <c r="C134" s="94"/>
      <c r="D134" s="79"/>
      <c r="E134" s="94"/>
      <c r="F134" s="94"/>
      <c r="G134" s="94"/>
      <c r="H134" s="115"/>
      <c r="I134" s="115"/>
      <c r="J134" s="115"/>
      <c r="K134" s="116"/>
      <c r="L134" s="613" t="s">
        <v>392</v>
      </c>
      <c r="M134" s="613"/>
      <c r="N134" s="732"/>
      <c r="O134" s="613"/>
      <c r="P134" s="829">
        <v>4300000</v>
      </c>
      <c r="Q134" s="705" t="s">
        <v>80</v>
      </c>
      <c r="R134" s="828">
        <v>1</v>
      </c>
      <c r="S134" s="846" t="s">
        <v>80</v>
      </c>
      <c r="T134" s="733">
        <v>1</v>
      </c>
      <c r="U134" s="846" t="s">
        <v>98</v>
      </c>
      <c r="V134" s="829">
        <f t="shared" si="31"/>
        <v>4300000</v>
      </c>
      <c r="W134" s="801"/>
      <c r="X134" s="80"/>
      <c r="Z134" s="317"/>
    </row>
    <row r="135" spans="1:34" s="3" customFormat="1" ht="15.95" customHeight="1" x14ac:dyDescent="0.3">
      <c r="B135" s="251"/>
      <c r="C135" s="94"/>
      <c r="D135" s="6"/>
      <c r="E135" s="94"/>
      <c r="F135" s="94"/>
      <c r="G135" s="94"/>
      <c r="H135" s="115"/>
      <c r="I135" s="115"/>
      <c r="J135" s="115"/>
      <c r="K135" s="116"/>
      <c r="L135" s="613" t="s">
        <v>716</v>
      </c>
      <c r="M135" s="613"/>
      <c r="N135" s="732"/>
      <c r="O135" s="613"/>
      <c r="P135" s="829">
        <v>3500000</v>
      </c>
      <c r="Q135" s="705" t="s">
        <v>80</v>
      </c>
      <c r="R135" s="828">
        <v>1</v>
      </c>
      <c r="S135" s="846" t="s">
        <v>80</v>
      </c>
      <c r="T135" s="733">
        <v>1</v>
      </c>
      <c r="U135" s="846" t="s">
        <v>98</v>
      </c>
      <c r="V135" s="829">
        <f t="shared" si="31"/>
        <v>3500000</v>
      </c>
      <c r="W135" s="801"/>
      <c r="X135" s="80"/>
      <c r="Z135" s="297"/>
    </row>
    <row r="136" spans="1:34" s="7" customFormat="1" ht="15.95" customHeight="1" x14ac:dyDescent="0.3">
      <c r="B136" s="251"/>
      <c r="C136" s="94"/>
      <c r="D136" s="79"/>
      <c r="E136" s="94"/>
      <c r="F136" s="94"/>
      <c r="G136" s="94"/>
      <c r="H136" s="115"/>
      <c r="I136" s="115"/>
      <c r="J136" s="115"/>
      <c r="K136" s="116"/>
      <c r="L136" s="613" t="s">
        <v>665</v>
      </c>
      <c r="M136" s="615"/>
      <c r="N136" s="829"/>
      <c r="O136" s="705"/>
      <c r="P136" s="829">
        <v>200000</v>
      </c>
      <c r="Q136" s="705" t="s">
        <v>80</v>
      </c>
      <c r="R136" s="828">
        <v>1</v>
      </c>
      <c r="S136" s="846" t="s">
        <v>80</v>
      </c>
      <c r="T136" s="733">
        <v>3</v>
      </c>
      <c r="U136" s="846" t="s">
        <v>98</v>
      </c>
      <c r="V136" s="829">
        <f t="shared" si="31"/>
        <v>600000</v>
      </c>
      <c r="W136" s="801"/>
      <c r="X136" s="80"/>
      <c r="Z136" s="317"/>
    </row>
    <row r="137" spans="1:34" s="7" customFormat="1" ht="15.95" customHeight="1" x14ac:dyDescent="0.3">
      <c r="B137" s="251"/>
      <c r="C137" s="94"/>
      <c r="D137" s="79"/>
      <c r="E137" s="94"/>
      <c r="F137" s="94"/>
      <c r="G137" s="94"/>
      <c r="H137" s="115"/>
      <c r="I137" s="115"/>
      <c r="J137" s="115"/>
      <c r="K137" s="116"/>
      <c r="L137" s="613" t="s">
        <v>512</v>
      </c>
      <c r="M137" s="615"/>
      <c r="N137" s="829"/>
      <c r="O137" s="705"/>
      <c r="P137" s="829">
        <v>500000</v>
      </c>
      <c r="Q137" s="705" t="s">
        <v>80</v>
      </c>
      <c r="R137" s="828">
        <v>1</v>
      </c>
      <c r="S137" s="846" t="s">
        <v>80</v>
      </c>
      <c r="T137" s="733">
        <v>1</v>
      </c>
      <c r="U137" s="846" t="s">
        <v>98</v>
      </c>
      <c r="V137" s="829">
        <f t="shared" si="31"/>
        <v>500000</v>
      </c>
      <c r="W137" s="801"/>
      <c r="X137" s="80"/>
      <c r="Z137" s="317"/>
    </row>
    <row r="138" spans="1:34" s="7" customFormat="1" ht="15.95" customHeight="1" x14ac:dyDescent="0.3">
      <c r="B138" s="251"/>
      <c r="C138" s="94"/>
      <c r="D138" s="79"/>
      <c r="E138" s="94"/>
      <c r="F138" s="94"/>
      <c r="G138" s="94"/>
      <c r="H138" s="115"/>
      <c r="I138" s="115"/>
      <c r="J138" s="115"/>
      <c r="K138" s="116"/>
      <c r="L138" s="613" t="s">
        <v>494</v>
      </c>
      <c r="M138" s="615"/>
      <c r="N138" s="829"/>
      <c r="O138" s="705"/>
      <c r="P138" s="829">
        <v>180000</v>
      </c>
      <c r="Q138" s="705" t="s">
        <v>80</v>
      </c>
      <c r="R138" s="828">
        <v>1</v>
      </c>
      <c r="S138" s="705" t="s">
        <v>80</v>
      </c>
      <c r="T138" s="736">
        <v>12</v>
      </c>
      <c r="U138" s="705" t="s">
        <v>98</v>
      </c>
      <c r="V138" s="829">
        <f t="shared" si="31"/>
        <v>2160000</v>
      </c>
      <c r="W138" s="801"/>
      <c r="X138" s="80"/>
      <c r="Z138" s="317"/>
    </row>
    <row r="139" spans="1:34" s="7" customFormat="1" ht="15.95" customHeight="1" x14ac:dyDescent="0.3">
      <c r="B139" s="251"/>
      <c r="C139" s="94"/>
      <c r="D139" s="79"/>
      <c r="E139" s="94"/>
      <c r="F139" s="94"/>
      <c r="G139" s="94"/>
      <c r="H139" s="115"/>
      <c r="I139" s="115"/>
      <c r="J139" s="115"/>
      <c r="K139" s="116"/>
      <c r="L139" s="613" t="s">
        <v>191</v>
      </c>
      <c r="M139" s="613"/>
      <c r="N139" s="732"/>
      <c r="O139" s="613"/>
      <c r="P139" s="829">
        <v>150000</v>
      </c>
      <c r="Q139" s="705" t="s">
        <v>80</v>
      </c>
      <c r="R139" s="828">
        <v>1</v>
      </c>
      <c r="S139" s="846" t="s">
        <v>80</v>
      </c>
      <c r="T139" s="733">
        <v>2</v>
      </c>
      <c r="U139" s="846" t="s">
        <v>98</v>
      </c>
      <c r="V139" s="829">
        <f t="shared" si="31"/>
        <v>300000</v>
      </c>
      <c r="W139" s="801"/>
      <c r="X139" s="80"/>
      <c r="Z139" s="317"/>
    </row>
    <row r="140" spans="1:34" s="7" customFormat="1" ht="15.95" customHeight="1" x14ac:dyDescent="0.3">
      <c r="B140" s="251"/>
      <c r="C140" s="94"/>
      <c r="D140" s="79"/>
      <c r="E140" s="94"/>
      <c r="F140" s="94"/>
      <c r="G140" s="94"/>
      <c r="H140" s="115"/>
      <c r="I140" s="115"/>
      <c r="J140" s="115"/>
      <c r="K140" s="116"/>
      <c r="L140" s="613" t="s">
        <v>46</v>
      </c>
      <c r="M140" s="613"/>
      <c r="N140" s="732"/>
      <c r="O140" s="613"/>
      <c r="P140" s="829">
        <v>150000</v>
      </c>
      <c r="Q140" s="705" t="s">
        <v>80</v>
      </c>
      <c r="R140" s="828">
        <v>1</v>
      </c>
      <c r="S140" s="846" t="s">
        <v>80</v>
      </c>
      <c r="T140" s="733">
        <v>12</v>
      </c>
      <c r="U140" s="846" t="s">
        <v>98</v>
      </c>
      <c r="V140" s="829">
        <f t="shared" si="31"/>
        <v>1800000</v>
      </c>
      <c r="W140" s="801"/>
      <c r="X140" s="80"/>
      <c r="Z140" s="317"/>
    </row>
    <row r="141" spans="1:34" s="79" customFormat="1" ht="15.95" customHeight="1" x14ac:dyDescent="0.3">
      <c r="A141" s="7"/>
      <c r="B141" s="251"/>
      <c r="C141" s="94"/>
      <c r="E141" s="94"/>
      <c r="F141" s="94"/>
      <c r="G141" s="94"/>
      <c r="H141" s="115"/>
      <c r="I141" s="115"/>
      <c r="J141" s="115"/>
      <c r="K141" s="116"/>
      <c r="L141" s="613" t="s">
        <v>662</v>
      </c>
      <c r="M141" s="615"/>
      <c r="N141" s="829"/>
      <c r="O141" s="705"/>
      <c r="P141" s="829">
        <v>500000</v>
      </c>
      <c r="Q141" s="705" t="s">
        <v>80</v>
      </c>
      <c r="R141" s="828">
        <v>1</v>
      </c>
      <c r="S141" s="705" t="s">
        <v>80</v>
      </c>
      <c r="T141" s="736">
        <v>2</v>
      </c>
      <c r="U141" s="705" t="s">
        <v>98</v>
      </c>
      <c r="V141" s="829">
        <f t="shared" si="31"/>
        <v>1000000</v>
      </c>
      <c r="W141" s="801"/>
      <c r="X141" s="80"/>
      <c r="Z141" s="544"/>
      <c r="AA141" s="544"/>
      <c r="AB141" s="545"/>
      <c r="AC141" s="545"/>
      <c r="AD141" s="545"/>
      <c r="AE141" s="545"/>
      <c r="AF141" s="545"/>
      <c r="AG141" s="545"/>
      <c r="AH141" s="545"/>
    </row>
    <row r="142" spans="1:34" s="79" customFormat="1" ht="15.95" customHeight="1" x14ac:dyDescent="0.3">
      <c r="A142" s="7"/>
      <c r="B142" s="251"/>
      <c r="C142" s="94"/>
      <c r="E142" s="94"/>
      <c r="F142" s="94"/>
      <c r="G142" s="94"/>
      <c r="H142" s="115"/>
      <c r="I142" s="115"/>
      <c r="J142" s="115"/>
      <c r="K142" s="116"/>
      <c r="L142" s="613" t="s">
        <v>530</v>
      </c>
      <c r="M142" s="615"/>
      <c r="N142" s="829"/>
      <c r="O142" s="705"/>
      <c r="P142" s="829">
        <v>200000</v>
      </c>
      <c r="Q142" s="846" t="s">
        <v>80</v>
      </c>
      <c r="R142" s="733">
        <v>1</v>
      </c>
      <c r="S142" s="846" t="s">
        <v>80</v>
      </c>
      <c r="T142" s="733">
        <v>5</v>
      </c>
      <c r="U142" s="846" t="s">
        <v>98</v>
      </c>
      <c r="V142" s="829">
        <f t="shared" si="31"/>
        <v>1000000</v>
      </c>
      <c r="W142" s="735"/>
      <c r="X142" s="80"/>
      <c r="Z142" s="544"/>
      <c r="AA142" s="544"/>
      <c r="AB142" s="545"/>
      <c r="AC142" s="545"/>
      <c r="AD142" s="545"/>
      <c r="AE142" s="545"/>
      <c r="AF142" s="545"/>
      <c r="AG142" s="545"/>
      <c r="AH142" s="545"/>
    </row>
    <row r="143" spans="1:34" s="79" customFormat="1" ht="15.95" customHeight="1" x14ac:dyDescent="0.3">
      <c r="A143" s="7"/>
      <c r="B143" s="251"/>
      <c r="C143" s="94"/>
      <c r="E143" s="94"/>
      <c r="F143" s="94"/>
      <c r="G143" s="94"/>
      <c r="H143" s="115"/>
      <c r="I143" s="115"/>
      <c r="J143" s="115"/>
      <c r="K143" s="116"/>
      <c r="L143" s="613" t="s">
        <v>39</v>
      </c>
      <c r="M143" s="615"/>
      <c r="N143" s="829"/>
      <c r="O143" s="705"/>
      <c r="P143" s="829">
        <v>500000</v>
      </c>
      <c r="Q143" s="705" t="s">
        <v>80</v>
      </c>
      <c r="R143" s="828">
        <v>1</v>
      </c>
      <c r="S143" s="705" t="s">
        <v>80</v>
      </c>
      <c r="T143" s="736">
        <v>12</v>
      </c>
      <c r="U143" s="705" t="s">
        <v>98</v>
      </c>
      <c r="V143" s="829">
        <f t="shared" si="31"/>
        <v>6000000</v>
      </c>
      <c r="W143" s="801"/>
      <c r="X143" s="80"/>
      <c r="Z143" s="544"/>
      <c r="AA143" s="544"/>
      <c r="AB143" s="545"/>
      <c r="AC143" s="545"/>
      <c r="AD143" s="545"/>
      <c r="AE143" s="545"/>
      <c r="AF143" s="545"/>
      <c r="AG143" s="545"/>
      <c r="AH143" s="545"/>
    </row>
    <row r="144" spans="1:34" s="79" customFormat="1" ht="15.95" customHeight="1" x14ac:dyDescent="0.3">
      <c r="A144" s="7"/>
      <c r="B144" s="251"/>
      <c r="C144" s="94"/>
      <c r="E144" s="94"/>
      <c r="F144" s="94"/>
      <c r="G144" s="94"/>
      <c r="H144" s="115"/>
      <c r="I144" s="115"/>
      <c r="J144" s="115"/>
      <c r="K144" s="116"/>
      <c r="L144" s="613" t="s">
        <v>433</v>
      </c>
      <c r="M144" s="615"/>
      <c r="N144" s="829"/>
      <c r="O144" s="705"/>
      <c r="P144" s="829">
        <v>260000</v>
      </c>
      <c r="Q144" s="705" t="s">
        <v>80</v>
      </c>
      <c r="R144" s="828">
        <v>1</v>
      </c>
      <c r="S144" s="705" t="s">
        <v>80</v>
      </c>
      <c r="T144" s="736">
        <v>12</v>
      </c>
      <c r="U144" s="705" t="s">
        <v>98</v>
      </c>
      <c r="V144" s="829">
        <f t="shared" si="31"/>
        <v>3120000</v>
      </c>
      <c r="W144" s="801"/>
      <c r="X144" s="80"/>
      <c r="Z144" s="544"/>
      <c r="AA144" s="544"/>
      <c r="AB144" s="545"/>
      <c r="AC144" s="545"/>
      <c r="AD144" s="545"/>
      <c r="AE144" s="545"/>
      <c r="AF144" s="545"/>
      <c r="AG144" s="545"/>
      <c r="AH144" s="545"/>
    </row>
    <row r="145" spans="1:34" s="79" customFormat="1" ht="15.95" customHeight="1" x14ac:dyDescent="0.3">
      <c r="A145" s="7"/>
      <c r="B145" s="251"/>
      <c r="C145" s="94"/>
      <c r="E145" s="94"/>
      <c r="F145" s="94"/>
      <c r="G145" s="77"/>
      <c r="H145" s="115"/>
      <c r="I145" s="115"/>
      <c r="J145" s="115"/>
      <c r="K145" s="125"/>
      <c r="L145" s="613" t="s">
        <v>390</v>
      </c>
      <c r="M145" s="615"/>
      <c r="N145" s="829"/>
      <c r="O145" s="705"/>
      <c r="P145" s="829">
        <v>1000000</v>
      </c>
      <c r="Q145" s="705" t="s">
        <v>80</v>
      </c>
      <c r="R145" s="828">
        <v>1</v>
      </c>
      <c r="S145" s="846" t="s">
        <v>80</v>
      </c>
      <c r="T145" s="733">
        <v>1</v>
      </c>
      <c r="U145" s="846" t="s">
        <v>98</v>
      </c>
      <c r="V145" s="829">
        <f t="shared" si="31"/>
        <v>1000000</v>
      </c>
      <c r="W145" s="801"/>
      <c r="X145" s="80"/>
      <c r="Z145" s="544"/>
      <c r="AA145" s="544"/>
      <c r="AB145" s="545"/>
      <c r="AC145" s="545"/>
      <c r="AD145" s="545"/>
      <c r="AE145" s="545"/>
      <c r="AF145" s="545"/>
      <c r="AG145" s="545"/>
      <c r="AH145" s="545"/>
    </row>
    <row r="146" spans="1:34" s="79" customFormat="1" ht="15.95" customHeight="1" x14ac:dyDescent="0.3">
      <c r="A146" s="7"/>
      <c r="B146" s="251"/>
      <c r="C146" s="94"/>
      <c r="E146" s="94"/>
      <c r="F146" s="94"/>
      <c r="G146" s="77"/>
      <c r="H146" s="115"/>
      <c r="I146" s="115"/>
      <c r="J146" s="115"/>
      <c r="K146" s="125"/>
      <c r="L146" s="613" t="s">
        <v>429</v>
      </c>
      <c r="M146" s="615"/>
      <c r="N146" s="829"/>
      <c r="O146" s="705"/>
      <c r="P146" s="829">
        <v>1100000</v>
      </c>
      <c r="Q146" s="705" t="s">
        <v>80</v>
      </c>
      <c r="R146" s="828">
        <v>1</v>
      </c>
      <c r="S146" s="705" t="s">
        <v>80</v>
      </c>
      <c r="T146" s="736">
        <v>1</v>
      </c>
      <c r="U146" s="705" t="s">
        <v>98</v>
      </c>
      <c r="V146" s="829">
        <f t="shared" si="31"/>
        <v>1100000</v>
      </c>
      <c r="W146" s="801"/>
      <c r="X146" s="80"/>
      <c r="Z146" s="544"/>
      <c r="AA146" s="544"/>
      <c r="AB146" s="545"/>
      <c r="AC146" s="545"/>
      <c r="AD146" s="545"/>
      <c r="AE146" s="545"/>
      <c r="AF146" s="545"/>
      <c r="AG146" s="545"/>
      <c r="AH146" s="545"/>
    </row>
    <row r="147" spans="1:34" s="79" customFormat="1" ht="15.95" customHeight="1" x14ac:dyDescent="0.3">
      <c r="A147" s="7"/>
      <c r="B147" s="94"/>
      <c r="C147" s="94"/>
      <c r="E147" s="94"/>
      <c r="F147" s="94"/>
      <c r="G147" s="77"/>
      <c r="H147" s="115"/>
      <c r="I147" s="115"/>
      <c r="J147" s="115"/>
      <c r="K147" s="125"/>
      <c r="L147" s="613" t="s">
        <v>597</v>
      </c>
      <c r="M147" s="615"/>
      <c r="N147" s="829"/>
      <c r="O147" s="705"/>
      <c r="P147" s="829">
        <v>1200000</v>
      </c>
      <c r="Q147" s="705" t="s">
        <v>80</v>
      </c>
      <c r="R147" s="828">
        <v>1</v>
      </c>
      <c r="S147" s="705" t="s">
        <v>80</v>
      </c>
      <c r="T147" s="736">
        <v>1</v>
      </c>
      <c r="U147" s="705" t="s">
        <v>98</v>
      </c>
      <c r="V147" s="829">
        <f t="shared" si="31"/>
        <v>1200000</v>
      </c>
      <c r="W147" s="801"/>
      <c r="X147" s="80"/>
      <c r="Z147" s="544"/>
      <c r="AA147" s="544"/>
      <c r="AB147" s="545"/>
      <c r="AC147" s="545"/>
      <c r="AD147" s="545"/>
      <c r="AE147" s="545"/>
      <c r="AF147" s="545"/>
      <c r="AG147" s="545"/>
      <c r="AH147" s="545"/>
    </row>
    <row r="148" spans="1:34" s="79" customFormat="1" ht="15.95" customHeight="1" x14ac:dyDescent="0.3">
      <c r="A148" s="7"/>
      <c r="B148" s="94"/>
      <c r="C148" s="94"/>
      <c r="E148" s="94"/>
      <c r="F148" s="94"/>
      <c r="G148" s="77"/>
      <c r="H148" s="115"/>
      <c r="I148" s="115"/>
      <c r="J148" s="115"/>
      <c r="K148" s="125"/>
      <c r="L148" s="613" t="s">
        <v>519</v>
      </c>
      <c r="M148" s="615"/>
      <c r="N148" s="829"/>
      <c r="O148" s="705"/>
      <c r="P148" s="829">
        <v>2500000</v>
      </c>
      <c r="Q148" s="705" t="s">
        <v>80</v>
      </c>
      <c r="R148" s="828">
        <v>1</v>
      </c>
      <c r="S148" s="705" t="s">
        <v>80</v>
      </c>
      <c r="T148" s="736">
        <v>1</v>
      </c>
      <c r="U148" s="705" t="s">
        <v>98</v>
      </c>
      <c r="V148" s="829">
        <f t="shared" si="31"/>
        <v>2500000</v>
      </c>
      <c r="W148" s="801"/>
      <c r="X148" s="80"/>
      <c r="Z148" s="544"/>
      <c r="AA148" s="544"/>
      <c r="AB148" s="545"/>
      <c r="AC148" s="545"/>
      <c r="AD148" s="545"/>
      <c r="AE148" s="545"/>
      <c r="AF148" s="545"/>
      <c r="AG148" s="545"/>
      <c r="AH148" s="545"/>
    </row>
    <row r="149" spans="1:34" s="79" customFormat="1" ht="15.95" customHeight="1" x14ac:dyDescent="0.3">
      <c r="A149" s="7"/>
      <c r="B149" s="94"/>
      <c r="C149" s="94"/>
      <c r="E149" s="94"/>
      <c r="F149" s="94"/>
      <c r="G149" s="77"/>
      <c r="H149" s="115"/>
      <c r="I149" s="115"/>
      <c r="J149" s="115"/>
      <c r="K149" s="125"/>
      <c r="L149" s="613" t="s">
        <v>498</v>
      </c>
      <c r="M149" s="615"/>
      <c r="N149" s="829"/>
      <c r="O149" s="705"/>
      <c r="P149" s="829">
        <v>200000</v>
      </c>
      <c r="Q149" s="705" t="s">
        <v>80</v>
      </c>
      <c r="R149" s="828">
        <v>1</v>
      </c>
      <c r="S149" s="705" t="s">
        <v>80</v>
      </c>
      <c r="T149" s="736">
        <v>12</v>
      </c>
      <c r="U149" s="705" t="s">
        <v>98</v>
      </c>
      <c r="V149" s="829">
        <f t="shared" si="31"/>
        <v>2400000</v>
      </c>
      <c r="W149" s="801"/>
      <c r="X149" s="80"/>
      <c r="Z149" s="544"/>
      <c r="AA149" s="544"/>
      <c r="AB149" s="545"/>
      <c r="AC149" s="545"/>
      <c r="AD149" s="545"/>
      <c r="AE149" s="545"/>
      <c r="AF149" s="545"/>
      <c r="AG149" s="545"/>
      <c r="AH149" s="545"/>
    </row>
    <row r="150" spans="1:34" s="79" customFormat="1" ht="15.95" customHeight="1" x14ac:dyDescent="0.3">
      <c r="A150" s="7"/>
      <c r="B150" s="94"/>
      <c r="C150" s="94"/>
      <c r="E150" s="94"/>
      <c r="F150" s="94"/>
      <c r="G150" s="77"/>
      <c r="H150" s="115"/>
      <c r="I150" s="115"/>
      <c r="J150" s="115"/>
      <c r="K150" s="125"/>
      <c r="L150" s="613" t="s">
        <v>497</v>
      </c>
      <c r="M150" s="615"/>
      <c r="N150" s="829"/>
      <c r="O150" s="705"/>
      <c r="P150" s="829">
        <v>250000</v>
      </c>
      <c r="Q150" s="705" t="s">
        <v>80</v>
      </c>
      <c r="R150" s="828">
        <v>1</v>
      </c>
      <c r="S150" s="705" t="s">
        <v>80</v>
      </c>
      <c r="T150" s="736">
        <v>12</v>
      </c>
      <c r="U150" s="705" t="s">
        <v>98</v>
      </c>
      <c r="V150" s="829">
        <f t="shared" si="31"/>
        <v>3000000</v>
      </c>
      <c r="W150" s="801"/>
      <c r="X150" s="80"/>
      <c r="Z150" s="544"/>
      <c r="AA150" s="544"/>
      <c r="AB150" s="545"/>
      <c r="AC150" s="545"/>
      <c r="AD150" s="545"/>
      <c r="AE150" s="545"/>
      <c r="AF150" s="545"/>
      <c r="AG150" s="545"/>
      <c r="AH150" s="545"/>
    </row>
    <row r="151" spans="1:34" s="65" customFormat="1" ht="15.6" customHeight="1" x14ac:dyDescent="0.3">
      <c r="A151" s="1623"/>
      <c r="B151" s="94"/>
      <c r="C151" s="94"/>
      <c r="D151" s="94"/>
      <c r="E151" s="94"/>
      <c r="F151" s="79"/>
      <c r="G151" s="117" t="s">
        <v>534</v>
      </c>
      <c r="H151" s="108">
        <f>W151</f>
        <v>32400000</v>
      </c>
      <c r="I151" s="108">
        <v>31400000</v>
      </c>
      <c r="J151" s="108">
        <f t="shared" si="30"/>
        <v>1000000</v>
      </c>
      <c r="K151" s="694" t="s">
        <v>125</v>
      </c>
      <c r="L151" s="694" t="s">
        <v>205</v>
      </c>
      <c r="M151" s="695"/>
      <c r="N151" s="791"/>
      <c r="O151" s="953"/>
      <c r="P151" s="791"/>
      <c r="Q151" s="954"/>
      <c r="R151" s="738"/>
      <c r="S151" s="936"/>
      <c r="T151" s="739"/>
      <c r="U151" s="936"/>
      <c r="V151" s="791"/>
      <c r="W151" s="792">
        <f>SUM(W152:W156)</f>
        <v>32400000</v>
      </c>
      <c r="X151" s="118"/>
    </row>
    <row r="152" spans="1:34" s="40" customFormat="1" ht="15.95" customHeight="1" x14ac:dyDescent="0.3">
      <c r="B152" s="526"/>
      <c r="C152" s="525"/>
      <c r="D152" s="526"/>
      <c r="E152" s="527"/>
      <c r="F152" s="529"/>
      <c r="G152" s="547"/>
      <c r="H152" s="516"/>
      <c r="I152" s="516"/>
      <c r="J152" s="517"/>
      <c r="K152" s="570" t="s">
        <v>66</v>
      </c>
      <c r="L152" s="624" t="s">
        <v>279</v>
      </c>
      <c r="M152" s="915"/>
      <c r="N152" s="916"/>
      <c r="O152" s="900"/>
      <c r="P152" s="900"/>
      <c r="Q152" s="901"/>
      <c r="R152" s="902"/>
      <c r="S152" s="901"/>
      <c r="T152" s="903"/>
      <c r="U152" s="901"/>
      <c r="V152" s="904"/>
      <c r="W152" s="904">
        <f>SUM(V153:V156)</f>
        <v>32400000</v>
      </c>
      <c r="X152" s="524"/>
      <c r="AB152" s="72"/>
    </row>
    <row r="153" spans="1:34" s="79" customFormat="1" ht="15.95" customHeight="1" x14ac:dyDescent="0.3">
      <c r="A153" s="7"/>
      <c r="B153" s="94"/>
      <c r="C153" s="94"/>
      <c r="E153" s="94"/>
      <c r="F153" s="94"/>
      <c r="G153" s="77"/>
      <c r="H153" s="115"/>
      <c r="I153" s="115"/>
      <c r="J153" s="115"/>
      <c r="K153" s="570"/>
      <c r="L153" s="613" t="s">
        <v>527</v>
      </c>
      <c r="M153" s="613"/>
      <c r="N153" s="732"/>
      <c r="O153" s="613"/>
      <c r="P153" s="971">
        <v>400000</v>
      </c>
      <c r="Q153" s="705" t="s">
        <v>80</v>
      </c>
      <c r="R153" s="828">
        <v>1</v>
      </c>
      <c r="S153" s="705" t="s">
        <v>80</v>
      </c>
      <c r="T153" s="972">
        <v>12</v>
      </c>
      <c r="U153" s="705" t="s">
        <v>98</v>
      </c>
      <c r="V153" s="829">
        <f>P153*R153*T153</f>
        <v>4800000</v>
      </c>
      <c r="W153" s="735"/>
      <c r="X153" s="80"/>
      <c r="Z153" s="544"/>
      <c r="AA153" s="544"/>
      <c r="AB153" s="545"/>
      <c r="AC153" s="545"/>
      <c r="AD153" s="545"/>
      <c r="AE153" s="545"/>
      <c r="AF153" s="545"/>
      <c r="AG153" s="545"/>
      <c r="AH153" s="545"/>
    </row>
    <row r="154" spans="1:34" s="79" customFormat="1" ht="15.95" customHeight="1" x14ac:dyDescent="0.3">
      <c r="A154" s="7"/>
      <c r="B154" s="94"/>
      <c r="C154" s="94"/>
      <c r="E154" s="94"/>
      <c r="F154" s="94"/>
      <c r="G154" s="77"/>
      <c r="H154" s="115"/>
      <c r="I154" s="115"/>
      <c r="J154" s="115"/>
      <c r="K154" s="570"/>
      <c r="L154" s="613" t="s">
        <v>523</v>
      </c>
      <c r="M154" s="615"/>
      <c r="N154" s="829"/>
      <c r="O154" s="705"/>
      <c r="P154" s="829">
        <v>50000</v>
      </c>
      <c r="Q154" s="705" t="s">
        <v>80</v>
      </c>
      <c r="R154" s="828">
        <v>1</v>
      </c>
      <c r="S154" s="705" t="s">
        <v>80</v>
      </c>
      <c r="T154" s="972">
        <v>12</v>
      </c>
      <c r="U154" s="705" t="s">
        <v>98</v>
      </c>
      <c r="V154" s="829">
        <f t="shared" ref="V154:V156" si="32">P154*R154*T154</f>
        <v>600000</v>
      </c>
      <c r="W154" s="735"/>
      <c r="X154" s="80"/>
      <c r="Z154" s="544"/>
      <c r="AA154" s="544"/>
      <c r="AB154" s="545"/>
      <c r="AC154" s="545"/>
      <c r="AD154" s="545"/>
      <c r="AE154" s="545"/>
      <c r="AF154" s="545"/>
      <c r="AG154" s="545"/>
      <c r="AH154" s="545"/>
    </row>
    <row r="155" spans="1:34" s="79" customFormat="1" ht="15.95" customHeight="1" x14ac:dyDescent="0.3">
      <c r="A155" s="7"/>
      <c r="B155" s="94"/>
      <c r="C155" s="94"/>
      <c r="E155" s="94"/>
      <c r="F155" s="94"/>
      <c r="G155" s="77"/>
      <c r="H155" s="115"/>
      <c r="I155" s="115"/>
      <c r="J155" s="115"/>
      <c r="K155" s="570"/>
      <c r="L155" s="613" t="s">
        <v>389</v>
      </c>
      <c r="M155" s="613"/>
      <c r="N155" s="732"/>
      <c r="O155" s="613"/>
      <c r="P155" s="971">
        <v>19000000</v>
      </c>
      <c r="Q155" s="705" t="s">
        <v>80</v>
      </c>
      <c r="R155" s="828">
        <v>1</v>
      </c>
      <c r="S155" s="705" t="s">
        <v>80</v>
      </c>
      <c r="T155" s="831">
        <v>1</v>
      </c>
      <c r="U155" s="705" t="s">
        <v>98</v>
      </c>
      <c r="V155" s="829">
        <f t="shared" si="32"/>
        <v>19000000</v>
      </c>
      <c r="W155" s="735"/>
      <c r="X155" s="80"/>
      <c r="Z155" s="544"/>
      <c r="AA155" s="544"/>
      <c r="AB155" s="545"/>
      <c r="AC155" s="545"/>
      <c r="AD155" s="545"/>
      <c r="AE155" s="545"/>
      <c r="AF155" s="545"/>
      <c r="AG155" s="545"/>
      <c r="AH155" s="545"/>
    </row>
    <row r="156" spans="1:34" s="79" customFormat="1" ht="15.6" customHeight="1" x14ac:dyDescent="0.3">
      <c r="A156" s="7"/>
      <c r="B156" s="94"/>
      <c r="C156" s="94"/>
      <c r="E156" s="94"/>
      <c r="F156" s="94"/>
      <c r="G156" s="77"/>
      <c r="H156" s="115"/>
      <c r="I156" s="115"/>
      <c r="J156" s="115"/>
      <c r="K156" s="570"/>
      <c r="L156" s="613" t="s">
        <v>381</v>
      </c>
      <c r="M156" s="615"/>
      <c r="N156" s="829"/>
      <c r="O156" s="705"/>
      <c r="P156" s="829">
        <v>8000000</v>
      </c>
      <c r="Q156" s="705" t="s">
        <v>80</v>
      </c>
      <c r="R156" s="828">
        <v>1</v>
      </c>
      <c r="S156" s="705" t="s">
        <v>80</v>
      </c>
      <c r="T156" s="831">
        <v>1</v>
      </c>
      <c r="U156" s="705" t="s">
        <v>98</v>
      </c>
      <c r="V156" s="829">
        <f t="shared" si="32"/>
        <v>8000000</v>
      </c>
      <c r="W156" s="1747"/>
      <c r="X156" s="80"/>
      <c r="Z156" s="544"/>
      <c r="AA156" s="544"/>
      <c r="AB156" s="545"/>
      <c r="AC156" s="545"/>
      <c r="AD156" s="545"/>
      <c r="AE156" s="545"/>
      <c r="AF156" s="545"/>
      <c r="AG156" s="545"/>
      <c r="AH156" s="545"/>
    </row>
    <row r="157" spans="1:34" s="65" customFormat="1" ht="15.6" customHeight="1" x14ac:dyDescent="0.3">
      <c r="B157" s="94"/>
      <c r="C157" s="94"/>
      <c r="D157" s="94"/>
      <c r="E157" s="94"/>
      <c r="F157" s="79"/>
      <c r="G157" s="117" t="s">
        <v>550</v>
      </c>
      <c r="H157" s="108">
        <f>W157</f>
        <v>1000000</v>
      </c>
      <c r="I157" s="108">
        <v>2000000</v>
      </c>
      <c r="J157" s="108">
        <f>H157-I157</f>
        <v>-1000000</v>
      </c>
      <c r="K157" s="121" t="s">
        <v>125</v>
      </c>
      <c r="L157" s="694" t="s">
        <v>138</v>
      </c>
      <c r="M157" s="694"/>
      <c r="N157" s="842"/>
      <c r="O157" s="973"/>
      <c r="P157" s="842"/>
      <c r="Q157" s="974"/>
      <c r="R157" s="840"/>
      <c r="S157" s="975"/>
      <c r="T157" s="841"/>
      <c r="U157" s="975"/>
      <c r="V157" s="842"/>
      <c r="W157" s="976">
        <f>SUM(V158:V158)</f>
        <v>1000000</v>
      </c>
      <c r="X157" s="118"/>
    </row>
    <row r="158" spans="1:34" s="40" customFormat="1" ht="15.95" customHeight="1" x14ac:dyDescent="0.3">
      <c r="B158" s="526"/>
      <c r="C158" s="525"/>
      <c r="D158" s="526"/>
      <c r="E158" s="527"/>
      <c r="F158" s="529"/>
      <c r="G158" s="547"/>
      <c r="H158" s="516"/>
      <c r="I158" s="516"/>
      <c r="J158" s="517"/>
      <c r="K158" s="645" t="s">
        <v>66</v>
      </c>
      <c r="L158" s="627" t="s">
        <v>473</v>
      </c>
      <c r="M158" s="918"/>
      <c r="N158" s="919"/>
      <c r="O158" s="920"/>
      <c r="P158" s="829">
        <v>1000000</v>
      </c>
      <c r="Q158" s="705" t="s">
        <v>80</v>
      </c>
      <c r="R158" s="828">
        <v>1</v>
      </c>
      <c r="S158" s="705" t="s">
        <v>80</v>
      </c>
      <c r="T158" s="736">
        <v>1</v>
      </c>
      <c r="U158" s="705" t="s">
        <v>98</v>
      </c>
      <c r="V158" s="829">
        <f>P158*R158*T158</f>
        <v>1000000</v>
      </c>
      <c r="W158" s="977"/>
      <c r="X158" s="524"/>
      <c r="AB158" s="72"/>
    </row>
    <row r="159" spans="1:34" s="66" customFormat="1" ht="15.6" customHeight="1" x14ac:dyDescent="0.3">
      <c r="B159" s="67"/>
      <c r="C159" s="67"/>
      <c r="D159" s="65"/>
      <c r="E159" s="67"/>
      <c r="F159" s="67"/>
      <c r="G159" s="68" t="s">
        <v>213</v>
      </c>
      <c r="H159" s="69">
        <f>W159</f>
        <v>1000000</v>
      </c>
      <c r="I159" s="69">
        <v>2000000</v>
      </c>
      <c r="J159" s="69">
        <f t="shared" si="30"/>
        <v>-1000000</v>
      </c>
      <c r="K159" s="32" t="s">
        <v>125</v>
      </c>
      <c r="L159" s="870" t="s">
        <v>133</v>
      </c>
      <c r="M159" s="870"/>
      <c r="N159" s="881"/>
      <c r="O159" s="870"/>
      <c r="P159" s="881"/>
      <c r="Q159" s="870"/>
      <c r="R159" s="881"/>
      <c r="S159" s="870"/>
      <c r="T159" s="870"/>
      <c r="U159" s="870"/>
      <c r="V159" s="881"/>
      <c r="W159" s="792">
        <f>SUM(V160:V160)</f>
        <v>1000000</v>
      </c>
      <c r="X159" s="876"/>
    </row>
    <row r="160" spans="1:34" s="40" customFormat="1" ht="15.95" customHeight="1" x14ac:dyDescent="0.3">
      <c r="B160" s="526"/>
      <c r="C160" s="525"/>
      <c r="D160" s="526"/>
      <c r="E160" s="527"/>
      <c r="F160" s="529"/>
      <c r="G160" s="547"/>
      <c r="H160" s="516"/>
      <c r="I160" s="516"/>
      <c r="J160" s="517"/>
      <c r="K160" s="645" t="s">
        <v>66</v>
      </c>
      <c r="L160" s="627" t="s">
        <v>733</v>
      </c>
      <c r="M160" s="918"/>
      <c r="N160" s="919"/>
      <c r="O160" s="920"/>
      <c r="P160" s="829">
        <v>25000</v>
      </c>
      <c r="Q160" s="705" t="s">
        <v>80</v>
      </c>
      <c r="R160" s="828">
        <v>8</v>
      </c>
      <c r="S160" s="705" t="s">
        <v>80</v>
      </c>
      <c r="T160" s="736">
        <v>5</v>
      </c>
      <c r="U160" s="705" t="s">
        <v>98</v>
      </c>
      <c r="V160" s="829">
        <f>P160*R160*T160</f>
        <v>1000000</v>
      </c>
      <c r="W160" s="922"/>
      <c r="X160" s="978"/>
      <c r="AB160" s="72"/>
    </row>
    <row r="161" spans="1:34" s="66" customFormat="1" ht="15.6" customHeight="1" x14ac:dyDescent="0.3">
      <c r="B161" s="67"/>
      <c r="C161" s="67"/>
      <c r="D161" s="65"/>
      <c r="E161" s="67"/>
      <c r="F161" s="67"/>
      <c r="G161" s="68" t="s">
        <v>623</v>
      </c>
      <c r="H161" s="69">
        <f>W161</f>
        <v>3400000</v>
      </c>
      <c r="I161" s="69">
        <v>3400000</v>
      </c>
      <c r="J161" s="69">
        <f>H161-I161</f>
        <v>0</v>
      </c>
      <c r="K161" s="32" t="s">
        <v>125</v>
      </c>
      <c r="L161" s="870" t="s">
        <v>185</v>
      </c>
      <c r="M161" s="870"/>
      <c r="N161" s="881"/>
      <c r="O161" s="870"/>
      <c r="P161" s="881"/>
      <c r="Q161" s="870"/>
      <c r="R161" s="881"/>
      <c r="S161" s="870"/>
      <c r="T161" s="870"/>
      <c r="U161" s="870"/>
      <c r="V161" s="881"/>
      <c r="W161" s="792">
        <f>SUM(W162:W164)</f>
        <v>3400000</v>
      </c>
      <c r="X161" s="33"/>
    </row>
    <row r="162" spans="1:34" s="40" customFormat="1" ht="15.95" customHeight="1" x14ac:dyDescent="0.3">
      <c r="B162" s="526"/>
      <c r="C162" s="525"/>
      <c r="D162" s="526"/>
      <c r="E162" s="527"/>
      <c r="F162" s="529"/>
      <c r="G162" s="547"/>
      <c r="H162" s="516"/>
      <c r="I162" s="516"/>
      <c r="J162" s="517"/>
      <c r="K162" s="645" t="s">
        <v>66</v>
      </c>
      <c r="L162" s="970" t="s">
        <v>279</v>
      </c>
      <c r="M162" s="918"/>
      <c r="N162" s="919"/>
      <c r="O162" s="920"/>
      <c r="P162" s="920"/>
      <c r="Q162" s="921"/>
      <c r="R162" s="930"/>
      <c r="S162" s="921"/>
      <c r="T162" s="931"/>
      <c r="U162" s="921"/>
      <c r="V162" s="922"/>
      <c r="W162" s="922">
        <f>SUM(V163:V164)</f>
        <v>3400000</v>
      </c>
      <c r="X162" s="524"/>
      <c r="AB162" s="72"/>
    </row>
    <row r="163" spans="1:34" s="79" customFormat="1" ht="15.6" customHeight="1" x14ac:dyDescent="0.3">
      <c r="A163" s="7"/>
      <c r="B163" s="94"/>
      <c r="C163" s="94"/>
      <c r="E163" s="94"/>
      <c r="F163" s="94"/>
      <c r="G163" s="77"/>
      <c r="H163" s="115"/>
      <c r="I163" s="115"/>
      <c r="J163" s="115"/>
      <c r="K163" s="119"/>
      <c r="L163" s="613" t="s">
        <v>158</v>
      </c>
      <c r="M163" s="615"/>
      <c r="N163" s="829">
        <v>9000</v>
      </c>
      <c r="O163" s="705" t="s">
        <v>80</v>
      </c>
      <c r="P163" s="829">
        <v>3.1</v>
      </c>
      <c r="Q163" s="705" t="s">
        <v>80</v>
      </c>
      <c r="R163" s="828">
        <v>3</v>
      </c>
      <c r="S163" s="705" t="s">
        <v>80</v>
      </c>
      <c r="T163" s="828">
        <v>12</v>
      </c>
      <c r="U163" s="705" t="s">
        <v>98</v>
      </c>
      <c r="V163" s="829">
        <f>N163*P163*R163*T163-4400</f>
        <v>1000000</v>
      </c>
      <c r="W163" s="801"/>
      <c r="X163" s="359"/>
      <c r="Y163" s="194"/>
      <c r="Z163" s="544"/>
      <c r="AA163" s="544"/>
      <c r="AB163" s="545"/>
      <c r="AC163" s="545"/>
      <c r="AD163" s="545"/>
      <c r="AE163" s="545"/>
      <c r="AF163" s="545"/>
      <c r="AG163" s="545"/>
      <c r="AH163" s="545"/>
    </row>
    <row r="164" spans="1:34" s="79" customFormat="1" ht="15.6" customHeight="1" x14ac:dyDescent="0.3">
      <c r="A164" s="7"/>
      <c r="B164" s="94"/>
      <c r="C164" s="94"/>
      <c r="E164" s="94"/>
      <c r="F164" s="94"/>
      <c r="G164" s="77"/>
      <c r="H164" s="115"/>
      <c r="I164" s="115"/>
      <c r="J164" s="115"/>
      <c r="K164" s="119"/>
      <c r="L164" s="613" t="s">
        <v>403</v>
      </c>
      <c r="M164" s="615"/>
      <c r="N164" s="829"/>
      <c r="O164" s="705"/>
      <c r="P164" s="829">
        <v>200000</v>
      </c>
      <c r="Q164" s="705" t="s">
        <v>80</v>
      </c>
      <c r="R164" s="828">
        <v>1</v>
      </c>
      <c r="S164" s="705" t="s">
        <v>80</v>
      </c>
      <c r="T164" s="736">
        <v>12</v>
      </c>
      <c r="U164" s="705" t="s">
        <v>98</v>
      </c>
      <c r="V164" s="829">
        <f>P164*R164*T164</f>
        <v>2400000</v>
      </c>
      <c r="W164" s="801"/>
      <c r="X164" s="359"/>
      <c r="Y164" s="548"/>
      <c r="Z164" s="549"/>
      <c r="AA164" s="549"/>
      <c r="AB164" s="545"/>
      <c r="AC164" s="545"/>
      <c r="AD164" s="545"/>
      <c r="AE164" s="545"/>
      <c r="AF164" s="545"/>
      <c r="AG164" s="545"/>
      <c r="AH164" s="545"/>
    </row>
    <row r="165" spans="1:34" s="66" customFormat="1" ht="15.6" customHeight="1" x14ac:dyDescent="0.3">
      <c r="B165" s="67"/>
      <c r="C165" s="67"/>
      <c r="D165" s="65"/>
      <c r="E165" s="67"/>
      <c r="F165" s="67"/>
      <c r="G165" s="68" t="s">
        <v>562</v>
      </c>
      <c r="H165" s="69">
        <f>W165</f>
        <v>0</v>
      </c>
      <c r="I165" s="69">
        <v>0</v>
      </c>
      <c r="J165" s="69">
        <f>H165-I165</f>
        <v>0</v>
      </c>
      <c r="K165" s="32"/>
      <c r="L165" s="870"/>
      <c r="M165" s="870"/>
      <c r="N165" s="881"/>
      <c r="O165" s="870"/>
      <c r="P165" s="881"/>
      <c r="Q165" s="870"/>
      <c r="R165" s="881"/>
      <c r="S165" s="870"/>
      <c r="T165" s="870"/>
      <c r="U165" s="870"/>
      <c r="V165" s="881"/>
      <c r="W165" s="792"/>
      <c r="X165" s="33"/>
    </row>
    <row r="166" spans="1:34" s="65" customFormat="1" ht="15.6" customHeight="1" x14ac:dyDescent="0.3">
      <c r="B166" s="94"/>
      <c r="C166" s="94"/>
      <c r="D166" s="94"/>
      <c r="E166" s="94"/>
      <c r="F166" s="95" t="s">
        <v>233</v>
      </c>
      <c r="G166" s="136"/>
      <c r="H166" s="96">
        <f>H167+H172</f>
        <v>23040000</v>
      </c>
      <c r="I166" s="96">
        <f t="shared" ref="I166:J166" si="33">I167+I172</f>
        <v>28800000</v>
      </c>
      <c r="J166" s="96">
        <f t="shared" si="33"/>
        <v>-5760000</v>
      </c>
      <c r="K166" s="353"/>
      <c r="L166" s="98"/>
      <c r="M166" s="99"/>
      <c r="N166" s="100"/>
      <c r="O166" s="101"/>
      <c r="P166" s="100"/>
      <c r="Q166" s="103"/>
      <c r="R166" s="104"/>
      <c r="S166" s="103"/>
      <c r="T166" s="105"/>
      <c r="U166" s="103"/>
      <c r="V166" s="100"/>
      <c r="W166" s="28"/>
      <c r="X166" s="106"/>
      <c r="Z166" s="66"/>
    </row>
    <row r="167" spans="1:34" s="65" customFormat="1" ht="15.6" customHeight="1" x14ac:dyDescent="0.3">
      <c r="B167" s="94"/>
      <c r="C167" s="94"/>
      <c r="D167" s="94"/>
      <c r="E167" s="94"/>
      <c r="F167" s="77"/>
      <c r="G167" s="120" t="s">
        <v>227</v>
      </c>
      <c r="H167" s="108">
        <f>W167</f>
        <v>23040000</v>
      </c>
      <c r="I167" s="108">
        <v>28800000</v>
      </c>
      <c r="J167" s="108">
        <f t="shared" si="30"/>
        <v>-5760000</v>
      </c>
      <c r="K167" s="121" t="s">
        <v>125</v>
      </c>
      <c r="L167" s="694" t="s">
        <v>202</v>
      </c>
      <c r="M167" s="695"/>
      <c r="N167" s="791"/>
      <c r="O167" s="935"/>
      <c r="P167" s="791"/>
      <c r="Q167" s="936"/>
      <c r="R167" s="738"/>
      <c r="S167" s="936"/>
      <c r="T167" s="739"/>
      <c r="U167" s="936"/>
      <c r="V167" s="791"/>
      <c r="W167" s="842">
        <f>SUM(W168:W171)</f>
        <v>23040000</v>
      </c>
      <c r="X167" s="118"/>
    </row>
    <row r="168" spans="1:34" s="40" customFormat="1" ht="15.95" customHeight="1" x14ac:dyDescent="0.3">
      <c r="B168" s="526"/>
      <c r="C168" s="525"/>
      <c r="D168" s="526"/>
      <c r="E168" s="527"/>
      <c r="F168" s="529"/>
      <c r="G168" s="547"/>
      <c r="H168" s="516"/>
      <c r="I168" s="516"/>
      <c r="J168" s="517"/>
      <c r="K168" s="645" t="s">
        <v>66</v>
      </c>
      <c r="L168" s="970" t="s">
        <v>279</v>
      </c>
      <c r="M168" s="918"/>
      <c r="N168" s="919"/>
      <c r="O168" s="920"/>
      <c r="P168" s="920"/>
      <c r="Q168" s="921"/>
      <c r="R168" s="930"/>
      <c r="S168" s="921"/>
      <c r="T168" s="931"/>
      <c r="U168" s="921"/>
      <c r="V168" s="922"/>
      <c r="W168" s="922">
        <f>SUM(V169:V171)</f>
        <v>23040000</v>
      </c>
      <c r="X168" s="524"/>
      <c r="AB168" s="72"/>
    </row>
    <row r="169" spans="1:34" s="79" customFormat="1" ht="15.6" customHeight="1" x14ac:dyDescent="0.3">
      <c r="A169" s="7"/>
      <c r="B169" s="94"/>
      <c r="C169" s="94"/>
      <c r="E169" s="94"/>
      <c r="F169" s="94"/>
      <c r="G169" s="94"/>
      <c r="H169" s="115"/>
      <c r="I169" s="115"/>
      <c r="J169" s="115"/>
      <c r="K169" s="119"/>
      <c r="L169" s="613" t="s">
        <v>405</v>
      </c>
      <c r="M169" s="979"/>
      <c r="N169" s="829"/>
      <c r="O169" s="705"/>
      <c r="P169" s="829">
        <v>80000</v>
      </c>
      <c r="Q169" s="705" t="s">
        <v>80</v>
      </c>
      <c r="R169" s="828">
        <v>8</v>
      </c>
      <c r="S169" s="705" t="s">
        <v>80</v>
      </c>
      <c r="T169" s="736">
        <v>12</v>
      </c>
      <c r="U169" s="705" t="s">
        <v>98</v>
      </c>
      <c r="V169" s="829">
        <f>P169*R169*T169</f>
        <v>7680000</v>
      </c>
      <c r="W169" s="735"/>
      <c r="X169" s="80"/>
      <c r="Z169" s="544"/>
      <c r="AA169" s="544"/>
      <c r="AB169" s="545"/>
      <c r="AC169" s="545"/>
      <c r="AD169" s="545"/>
      <c r="AE169" s="545"/>
      <c r="AF169" s="545"/>
      <c r="AG169" s="545"/>
      <c r="AH169" s="545"/>
    </row>
    <row r="170" spans="1:34" s="79" customFormat="1" ht="15.6" customHeight="1" x14ac:dyDescent="0.3">
      <c r="A170" s="7"/>
      <c r="B170" s="94"/>
      <c r="C170" s="94"/>
      <c r="E170" s="94"/>
      <c r="F170" s="94"/>
      <c r="G170" s="94"/>
      <c r="H170" s="115"/>
      <c r="I170" s="115"/>
      <c r="J170" s="115"/>
      <c r="K170" s="119"/>
      <c r="L170" s="613" t="s">
        <v>654</v>
      </c>
      <c r="M170" s="979"/>
      <c r="N170" s="829"/>
      <c r="O170" s="705"/>
      <c r="P170" s="829">
        <v>80000</v>
      </c>
      <c r="Q170" s="705" t="s">
        <v>80</v>
      </c>
      <c r="R170" s="828">
        <v>8</v>
      </c>
      <c r="S170" s="705" t="s">
        <v>80</v>
      </c>
      <c r="T170" s="736">
        <v>12</v>
      </c>
      <c r="U170" s="705" t="s">
        <v>98</v>
      </c>
      <c r="V170" s="829">
        <f>P170*R170*T170</f>
        <v>7680000</v>
      </c>
      <c r="W170" s="735"/>
      <c r="X170" s="80"/>
      <c r="Z170" s="544"/>
      <c r="AA170" s="544"/>
      <c r="AB170" s="545"/>
      <c r="AC170" s="545"/>
      <c r="AD170" s="545"/>
      <c r="AE170" s="545"/>
      <c r="AF170" s="545"/>
      <c r="AG170" s="545"/>
      <c r="AH170" s="545"/>
    </row>
    <row r="171" spans="1:34" s="79" customFormat="1" ht="15.6" customHeight="1" x14ac:dyDescent="0.3">
      <c r="A171" s="7"/>
      <c r="B171" s="94"/>
      <c r="C171" s="94"/>
      <c r="E171" s="94"/>
      <c r="F171" s="94"/>
      <c r="G171" s="94"/>
      <c r="H171" s="115"/>
      <c r="I171" s="115"/>
      <c r="J171" s="115"/>
      <c r="K171" s="119"/>
      <c r="L171" s="613" t="s">
        <v>438</v>
      </c>
      <c r="M171" s="979"/>
      <c r="N171" s="829"/>
      <c r="O171" s="705"/>
      <c r="P171" s="829">
        <v>80000</v>
      </c>
      <c r="Q171" s="705" t="s">
        <v>80</v>
      </c>
      <c r="R171" s="828">
        <v>8</v>
      </c>
      <c r="S171" s="705" t="s">
        <v>80</v>
      </c>
      <c r="T171" s="736">
        <v>12</v>
      </c>
      <c r="U171" s="705" t="s">
        <v>98</v>
      </c>
      <c r="V171" s="829">
        <f>P171*R171*T171</f>
        <v>7680000</v>
      </c>
      <c r="W171" s="735"/>
      <c r="X171" s="80"/>
      <c r="Z171" s="544"/>
      <c r="AA171" s="544"/>
      <c r="AB171" s="545"/>
      <c r="AC171" s="545"/>
      <c r="AD171" s="545"/>
      <c r="AE171" s="545"/>
      <c r="AF171" s="545"/>
      <c r="AG171" s="545"/>
      <c r="AH171" s="545"/>
    </row>
    <row r="172" spans="1:34" s="65" customFormat="1" ht="15.6" customHeight="1" x14ac:dyDescent="0.3">
      <c r="B172" s="94"/>
      <c r="C172" s="94"/>
      <c r="D172" s="94"/>
      <c r="E172" s="94"/>
      <c r="F172" s="94"/>
      <c r="G172" s="120" t="s">
        <v>624</v>
      </c>
      <c r="H172" s="108">
        <f>W172</f>
        <v>0</v>
      </c>
      <c r="I172" s="108">
        <v>0</v>
      </c>
      <c r="J172" s="108">
        <f>H172-I172</f>
        <v>0</v>
      </c>
      <c r="K172" s="121"/>
      <c r="L172" s="694"/>
      <c r="M172" s="695"/>
      <c r="N172" s="791"/>
      <c r="O172" s="935"/>
      <c r="P172" s="791"/>
      <c r="Q172" s="936"/>
      <c r="R172" s="738"/>
      <c r="S172" s="936"/>
      <c r="T172" s="739"/>
      <c r="U172" s="936"/>
      <c r="V172" s="791"/>
      <c r="W172" s="842"/>
      <c r="X172" s="118"/>
      <c r="Z172" s="513"/>
    </row>
    <row r="173" spans="1:34" s="65" customFormat="1" ht="15.6" customHeight="1" x14ac:dyDescent="0.3">
      <c r="B173" s="94"/>
      <c r="C173" s="94"/>
      <c r="D173" s="94"/>
      <c r="E173" s="94"/>
      <c r="F173" s="95" t="s">
        <v>625</v>
      </c>
      <c r="G173" s="95"/>
      <c r="H173" s="96">
        <f>H174</f>
        <v>0</v>
      </c>
      <c r="I173" s="96">
        <f t="shared" ref="I173:J173" si="34">I174</f>
        <v>0</v>
      </c>
      <c r="J173" s="96">
        <f t="shared" si="34"/>
        <v>0</v>
      </c>
      <c r="K173" s="123"/>
      <c r="L173" s="109"/>
      <c r="M173" s="110"/>
      <c r="N173" s="111"/>
      <c r="O173" s="122"/>
      <c r="P173" s="124"/>
      <c r="Q173" s="113"/>
      <c r="R173" s="112"/>
      <c r="S173" s="113"/>
      <c r="T173" s="114"/>
      <c r="U173" s="113"/>
      <c r="V173" s="111"/>
      <c r="W173" s="29"/>
      <c r="X173" s="118"/>
      <c r="Z173" s="66"/>
    </row>
    <row r="174" spans="1:34" s="65" customFormat="1" ht="15.6" customHeight="1" x14ac:dyDescent="0.3">
      <c r="B174" s="94"/>
      <c r="C174" s="94"/>
      <c r="D174" s="94"/>
      <c r="E174" s="94"/>
      <c r="F174" s="77"/>
      <c r="G174" s="79" t="s">
        <v>622</v>
      </c>
      <c r="H174" s="108">
        <f>W174</f>
        <v>0</v>
      </c>
      <c r="I174" s="108">
        <v>0</v>
      </c>
      <c r="J174" s="108">
        <f t="shared" si="30"/>
        <v>0</v>
      </c>
      <c r="K174" s="109"/>
      <c r="L174" s="694"/>
      <c r="M174" s="695"/>
      <c r="N174" s="791"/>
      <c r="O174" s="953"/>
      <c r="P174" s="737"/>
      <c r="Q174" s="954"/>
      <c r="R174" s="738"/>
      <c r="S174" s="936"/>
      <c r="T174" s="739"/>
      <c r="U174" s="936"/>
      <c r="V174" s="791"/>
      <c r="W174" s="792"/>
      <c r="X174" s="118"/>
    </row>
    <row r="175" spans="1:34" s="65" customFormat="1" ht="15.6" customHeight="1" x14ac:dyDescent="0.3">
      <c r="B175" s="94"/>
      <c r="C175" s="94"/>
      <c r="D175" s="94"/>
      <c r="E175" s="94"/>
      <c r="F175" s="95" t="s">
        <v>686</v>
      </c>
      <c r="G175" s="95"/>
      <c r="H175" s="96">
        <f>H176+H177</f>
        <v>0</v>
      </c>
      <c r="I175" s="96">
        <f t="shared" ref="I175:J175" si="35">I176+I177</f>
        <v>0</v>
      </c>
      <c r="J175" s="96">
        <f t="shared" si="35"/>
        <v>0</v>
      </c>
      <c r="K175" s="123"/>
      <c r="L175" s="109"/>
      <c r="M175" s="110"/>
      <c r="N175" s="111"/>
      <c r="O175" s="122"/>
      <c r="P175" s="124"/>
      <c r="Q175" s="113"/>
      <c r="R175" s="112"/>
      <c r="S175" s="113"/>
      <c r="T175" s="114"/>
      <c r="U175" s="113"/>
      <c r="V175" s="111"/>
      <c r="W175" s="29"/>
      <c r="X175" s="118"/>
      <c r="Z175" s="66"/>
    </row>
    <row r="176" spans="1:34" s="65" customFormat="1" ht="14.25" customHeight="1" x14ac:dyDescent="0.3">
      <c r="B176" s="94"/>
      <c r="C176" s="94"/>
      <c r="D176" s="94"/>
      <c r="E176" s="94"/>
      <c r="F176" s="77"/>
      <c r="G176" s="79" t="s">
        <v>685</v>
      </c>
      <c r="H176" s="108">
        <f>W176</f>
        <v>0</v>
      </c>
      <c r="I176" s="108">
        <v>0</v>
      </c>
      <c r="J176" s="108">
        <f>H176-I176</f>
        <v>0</v>
      </c>
      <c r="K176" s="109"/>
      <c r="L176" s="694"/>
      <c r="M176" s="695"/>
      <c r="N176" s="791"/>
      <c r="O176" s="953"/>
      <c r="P176" s="737"/>
      <c r="Q176" s="954"/>
      <c r="R176" s="738"/>
      <c r="S176" s="936"/>
      <c r="T176" s="739"/>
      <c r="U176" s="936"/>
      <c r="V176" s="791"/>
      <c r="W176" s="792"/>
      <c r="X176" s="118"/>
    </row>
    <row r="177" spans="1:34" s="65" customFormat="1" ht="15.6" customHeight="1" x14ac:dyDescent="0.3">
      <c r="B177" s="94"/>
      <c r="C177" s="94"/>
      <c r="D177" s="94"/>
      <c r="E177" s="94"/>
      <c r="F177" s="77"/>
      <c r="G177" s="120" t="s">
        <v>695</v>
      </c>
      <c r="H177" s="108">
        <f>W177</f>
        <v>0</v>
      </c>
      <c r="I177" s="108">
        <v>0</v>
      </c>
      <c r="J177" s="108">
        <f>H177-I177</f>
        <v>0</v>
      </c>
      <c r="K177" s="109"/>
      <c r="L177" s="694"/>
      <c r="M177" s="695"/>
      <c r="N177" s="791"/>
      <c r="O177" s="953"/>
      <c r="P177" s="980"/>
      <c r="Q177" s="981"/>
      <c r="R177" s="982"/>
      <c r="S177" s="981"/>
      <c r="T177" s="983"/>
      <c r="U177" s="981"/>
      <c r="V177" s="984"/>
      <c r="W177" s="792"/>
      <c r="X177" s="118"/>
    </row>
    <row r="178" spans="1:34" s="40" customFormat="1" ht="15.2" customHeight="1" x14ac:dyDescent="0.3">
      <c r="B178" s="360"/>
      <c r="C178" s="360"/>
      <c r="D178" s="361"/>
      <c r="E178" s="360"/>
      <c r="F178" s="362" t="s">
        <v>174</v>
      </c>
      <c r="G178" s="363"/>
      <c r="H178" s="364">
        <f>H179</f>
        <v>0</v>
      </c>
      <c r="I178" s="365">
        <f>I179</f>
        <v>0</v>
      </c>
      <c r="J178" s="364">
        <f>H178-I178</f>
        <v>0</v>
      </c>
      <c r="K178" s="366"/>
      <c r="L178" s="73"/>
      <c r="M178" s="46"/>
      <c r="N178" s="367"/>
      <c r="O178" s="368"/>
      <c r="P178" s="367"/>
      <c r="Q178" s="369"/>
      <c r="R178" s="368"/>
      <c r="S178" s="369"/>
      <c r="T178" s="369"/>
      <c r="U178" s="369"/>
      <c r="V178" s="370"/>
      <c r="W178" s="371"/>
      <c r="X178" s="372"/>
      <c r="Z178" s="373"/>
      <c r="AB178" s="72"/>
    </row>
    <row r="179" spans="1:34" s="40" customFormat="1" ht="15.2" customHeight="1" x14ac:dyDescent="0.3">
      <c r="B179" s="360"/>
      <c r="C179" s="360"/>
      <c r="D179" s="361"/>
      <c r="E179" s="360"/>
      <c r="F179" s="374"/>
      <c r="G179" s="375" t="s">
        <v>701</v>
      </c>
      <c r="H179" s="376">
        <f>W179</f>
        <v>0</v>
      </c>
      <c r="I179" s="377">
        <v>0</v>
      </c>
      <c r="J179" s="377">
        <f>H179-I179</f>
        <v>0</v>
      </c>
      <c r="K179" s="45"/>
      <c r="L179" s="668"/>
      <c r="M179" s="668"/>
      <c r="N179" s="865"/>
      <c r="O179" s="711"/>
      <c r="P179" s="865"/>
      <c r="Q179" s="709"/>
      <c r="R179" s="711"/>
      <c r="S179" s="709"/>
      <c r="T179" s="709"/>
      <c r="U179" s="709"/>
      <c r="V179" s="860"/>
      <c r="W179" s="727"/>
      <c r="X179" s="415"/>
      <c r="Z179" s="373"/>
      <c r="AB179" s="72"/>
    </row>
    <row r="180" spans="1:34" s="65" customFormat="1" ht="15.6" customHeight="1" x14ac:dyDescent="0.3">
      <c r="B180" s="94"/>
      <c r="C180" s="94"/>
      <c r="D180" s="94"/>
      <c r="E180" s="94"/>
      <c r="F180" s="95" t="s">
        <v>638</v>
      </c>
      <c r="G180" s="95"/>
      <c r="H180" s="96">
        <f>H181+H182</f>
        <v>2000000</v>
      </c>
      <c r="I180" s="96">
        <f t="shared" ref="I180:J180" si="36">I181+I182</f>
        <v>3000000</v>
      </c>
      <c r="J180" s="96">
        <f t="shared" si="36"/>
        <v>-1000000</v>
      </c>
      <c r="K180" s="123"/>
      <c r="L180" s="109"/>
      <c r="M180" s="110"/>
      <c r="N180" s="111"/>
      <c r="O180" s="122"/>
      <c r="P180" s="124"/>
      <c r="Q180" s="113"/>
      <c r="R180" s="112"/>
      <c r="S180" s="113"/>
      <c r="T180" s="114"/>
      <c r="U180" s="113"/>
      <c r="V180" s="111"/>
      <c r="W180" s="29"/>
      <c r="X180" s="118"/>
      <c r="Z180" s="66"/>
    </row>
    <row r="181" spans="1:34" s="65" customFormat="1" ht="15.6" customHeight="1" x14ac:dyDescent="0.3">
      <c r="B181" s="94"/>
      <c r="C181" s="94"/>
      <c r="D181" s="94"/>
      <c r="E181" s="94"/>
      <c r="F181" s="120"/>
      <c r="G181" s="79" t="s">
        <v>627</v>
      </c>
      <c r="H181" s="108">
        <f>W181</f>
        <v>0</v>
      </c>
      <c r="I181" s="108">
        <v>0</v>
      </c>
      <c r="J181" s="108">
        <f t="shared" si="30"/>
        <v>0</v>
      </c>
      <c r="K181" s="109"/>
      <c r="L181" s="694"/>
      <c r="M181" s="695"/>
      <c r="N181" s="791"/>
      <c r="O181" s="953"/>
      <c r="P181" s="737"/>
      <c r="Q181" s="954"/>
      <c r="R181" s="738"/>
      <c r="S181" s="936"/>
      <c r="T181" s="739"/>
      <c r="U181" s="936"/>
      <c r="V181" s="791"/>
      <c r="W181" s="792"/>
      <c r="X181" s="118"/>
    </row>
    <row r="182" spans="1:34" s="189" customFormat="1" ht="17.100000000000001" customHeight="1" x14ac:dyDescent="0.3">
      <c r="B182" s="190"/>
      <c r="C182" s="352"/>
      <c r="D182" s="190"/>
      <c r="E182" s="379"/>
      <c r="F182" s="386"/>
      <c r="G182" s="380" t="s">
        <v>547</v>
      </c>
      <c r="H182" s="381">
        <f>W182</f>
        <v>2000000</v>
      </c>
      <c r="I182" s="382">
        <v>3000000</v>
      </c>
      <c r="J182" s="383">
        <f t="shared" si="30"/>
        <v>-1000000</v>
      </c>
      <c r="K182" s="45" t="s">
        <v>125</v>
      </c>
      <c r="L182" s="668" t="s">
        <v>200</v>
      </c>
      <c r="M182" s="669"/>
      <c r="N182" s="725"/>
      <c r="O182" s="710"/>
      <c r="P182" s="725"/>
      <c r="Q182" s="706"/>
      <c r="R182" s="710"/>
      <c r="S182" s="706"/>
      <c r="T182" s="706"/>
      <c r="U182" s="706"/>
      <c r="V182" s="861"/>
      <c r="W182" s="727">
        <f>W183</f>
        <v>2000000</v>
      </c>
      <c r="X182" s="384"/>
      <c r="Z182" s="385"/>
    </row>
    <row r="183" spans="1:34" s="40" customFormat="1" ht="15.95" customHeight="1" x14ac:dyDescent="0.3">
      <c r="B183" s="526"/>
      <c r="C183" s="525"/>
      <c r="D183" s="526"/>
      <c r="E183" s="527"/>
      <c r="F183" s="525"/>
      <c r="G183" s="547"/>
      <c r="H183" s="516"/>
      <c r="I183" s="516"/>
      <c r="J183" s="517"/>
      <c r="K183" s="356" t="s">
        <v>66</v>
      </c>
      <c r="L183" s="970" t="s">
        <v>279</v>
      </c>
      <c r="M183" s="918"/>
      <c r="N183" s="919"/>
      <c r="O183" s="920"/>
      <c r="P183" s="920"/>
      <c r="Q183" s="921"/>
      <c r="R183" s="930"/>
      <c r="S183" s="921"/>
      <c r="T183" s="931"/>
      <c r="U183" s="921"/>
      <c r="V183" s="922"/>
      <c r="W183" s="922">
        <f>SUM(V184)</f>
        <v>2000000</v>
      </c>
      <c r="X183" s="524"/>
      <c r="AB183" s="72"/>
    </row>
    <row r="184" spans="1:34" s="79" customFormat="1" ht="15.6" customHeight="1" x14ac:dyDescent="0.3">
      <c r="A184" s="7"/>
      <c r="B184" s="94"/>
      <c r="C184" s="94"/>
      <c r="E184" s="94"/>
      <c r="F184" s="94"/>
      <c r="G184" s="94"/>
      <c r="H184" s="115"/>
      <c r="I184" s="115"/>
      <c r="J184" s="115"/>
      <c r="K184" s="119"/>
      <c r="L184" s="613" t="s">
        <v>725</v>
      </c>
      <c r="M184" s="613"/>
      <c r="N184" s="732"/>
      <c r="O184" s="828"/>
      <c r="P184" s="829">
        <v>1000000</v>
      </c>
      <c r="Q184" s="705" t="s">
        <v>80</v>
      </c>
      <c r="R184" s="828">
        <v>1</v>
      </c>
      <c r="S184" s="705" t="s">
        <v>80</v>
      </c>
      <c r="T184" s="736">
        <v>2</v>
      </c>
      <c r="U184" s="705" t="s">
        <v>98</v>
      </c>
      <c r="V184" s="829">
        <f>P184*R184*T184</f>
        <v>2000000</v>
      </c>
      <c r="W184" s="735"/>
      <c r="X184" s="80"/>
      <c r="Z184" s="544"/>
      <c r="AA184" s="544"/>
      <c r="AB184" s="545"/>
      <c r="AC184" s="545"/>
      <c r="AD184" s="545"/>
      <c r="AE184" s="545"/>
      <c r="AF184" s="545"/>
      <c r="AG184" s="545"/>
      <c r="AH184" s="545"/>
    </row>
    <row r="185" spans="1:34" s="65" customFormat="1" ht="15.6" customHeight="1" x14ac:dyDescent="0.3">
      <c r="B185" s="94"/>
      <c r="C185" s="94"/>
      <c r="D185" s="94"/>
      <c r="E185" s="94"/>
      <c r="F185" s="127" t="s">
        <v>634</v>
      </c>
      <c r="G185" s="127"/>
      <c r="H185" s="96">
        <f>H186</f>
        <v>2800000</v>
      </c>
      <c r="I185" s="96">
        <f t="shared" ref="I185:J185" si="37">I186</f>
        <v>3400000</v>
      </c>
      <c r="J185" s="96">
        <f t="shared" si="37"/>
        <v>-600000</v>
      </c>
      <c r="K185" s="97"/>
      <c r="L185" s="98"/>
      <c r="M185" s="99"/>
      <c r="N185" s="100"/>
      <c r="O185" s="101"/>
      <c r="P185" s="100"/>
      <c r="Q185" s="103"/>
      <c r="R185" s="104"/>
      <c r="S185" s="103"/>
      <c r="T185" s="105"/>
      <c r="U185" s="103"/>
      <c r="V185" s="100"/>
      <c r="W185" s="28"/>
      <c r="X185" s="106"/>
    </row>
    <row r="186" spans="1:34" s="65" customFormat="1" ht="15.6" customHeight="1" x14ac:dyDescent="0.3">
      <c r="B186" s="94"/>
      <c r="C186" s="94"/>
      <c r="D186" s="94"/>
      <c r="E186" s="94"/>
      <c r="F186" s="77"/>
      <c r="G186" s="120" t="s">
        <v>634</v>
      </c>
      <c r="H186" s="108">
        <f>W186</f>
        <v>2800000</v>
      </c>
      <c r="I186" s="108">
        <v>3400000</v>
      </c>
      <c r="J186" s="108">
        <f t="shared" si="30"/>
        <v>-600000</v>
      </c>
      <c r="K186" s="121" t="s">
        <v>125</v>
      </c>
      <c r="L186" s="694" t="s">
        <v>182</v>
      </c>
      <c r="M186" s="695"/>
      <c r="N186" s="791"/>
      <c r="O186" s="935"/>
      <c r="P186" s="791"/>
      <c r="Q186" s="936"/>
      <c r="R186" s="738"/>
      <c r="S186" s="936"/>
      <c r="T186" s="739"/>
      <c r="U186" s="936"/>
      <c r="V186" s="791"/>
      <c r="W186" s="958">
        <f>W187</f>
        <v>2800000</v>
      </c>
      <c r="X186" s="793"/>
      <c r="Z186" s="66"/>
    </row>
    <row r="187" spans="1:34" s="40" customFormat="1" ht="15.95" customHeight="1" x14ac:dyDescent="0.3">
      <c r="B187" s="546"/>
      <c r="C187" s="525"/>
      <c r="D187" s="526"/>
      <c r="E187" s="527"/>
      <c r="F187" s="529"/>
      <c r="G187" s="547"/>
      <c r="H187" s="516"/>
      <c r="I187" s="516"/>
      <c r="J187" s="517"/>
      <c r="K187" s="356" t="s">
        <v>66</v>
      </c>
      <c r="L187" s="970" t="s">
        <v>279</v>
      </c>
      <c r="M187" s="918"/>
      <c r="N187" s="919"/>
      <c r="O187" s="920"/>
      <c r="P187" s="920"/>
      <c r="Q187" s="921"/>
      <c r="R187" s="930"/>
      <c r="S187" s="921"/>
      <c r="T187" s="931"/>
      <c r="U187" s="921"/>
      <c r="V187" s="904"/>
      <c r="W187" s="904">
        <f>SUM(V188:V189)</f>
        <v>2800000</v>
      </c>
      <c r="X187" s="978"/>
      <c r="AB187" s="72"/>
    </row>
    <row r="188" spans="1:34" s="79" customFormat="1" ht="15.6" customHeight="1" x14ac:dyDescent="0.3">
      <c r="A188" s="7"/>
      <c r="B188" s="251"/>
      <c r="C188" s="94"/>
      <c r="E188" s="94"/>
      <c r="F188" s="94"/>
      <c r="G188" s="77"/>
      <c r="H188" s="115"/>
      <c r="I188" s="128"/>
      <c r="J188" s="115"/>
      <c r="K188" s="119"/>
      <c r="L188" s="613" t="s">
        <v>521</v>
      </c>
      <c r="M188" s="615"/>
      <c r="N188" s="829"/>
      <c r="O188" s="705"/>
      <c r="P188" s="829">
        <v>500000</v>
      </c>
      <c r="Q188" s="705" t="s">
        <v>80</v>
      </c>
      <c r="R188" s="828">
        <v>1</v>
      </c>
      <c r="S188" s="705" t="s">
        <v>80</v>
      </c>
      <c r="T188" s="736">
        <v>4</v>
      </c>
      <c r="U188" s="705" t="s">
        <v>98</v>
      </c>
      <c r="V188" s="955">
        <f>P188*R188*T188</f>
        <v>2000000</v>
      </c>
      <c r="W188" s="867"/>
      <c r="X188" s="802"/>
      <c r="Z188" s="544"/>
      <c r="AA188" s="544"/>
      <c r="AB188" s="545"/>
      <c r="AC188" s="545"/>
      <c r="AD188" s="545"/>
      <c r="AE188" s="545"/>
      <c r="AF188" s="545"/>
      <c r="AG188" s="545"/>
      <c r="AH188" s="545"/>
    </row>
    <row r="189" spans="1:34" s="79" customFormat="1" ht="15.6" customHeight="1" x14ac:dyDescent="0.3">
      <c r="A189" s="7"/>
      <c r="B189" s="251"/>
      <c r="C189" s="94"/>
      <c r="E189" s="94"/>
      <c r="F189" s="94"/>
      <c r="G189" s="77"/>
      <c r="H189" s="115"/>
      <c r="I189" s="128"/>
      <c r="J189" s="115"/>
      <c r="K189" s="119"/>
      <c r="L189" s="613" t="s">
        <v>697</v>
      </c>
      <c r="M189" s="615"/>
      <c r="N189" s="829"/>
      <c r="O189" s="705"/>
      <c r="P189" s="829">
        <v>200000</v>
      </c>
      <c r="Q189" s="705" t="s">
        <v>80</v>
      </c>
      <c r="R189" s="828">
        <v>2</v>
      </c>
      <c r="S189" s="705" t="s">
        <v>80</v>
      </c>
      <c r="T189" s="736">
        <v>2</v>
      </c>
      <c r="U189" s="705" t="s">
        <v>98</v>
      </c>
      <c r="V189" s="955">
        <f>P189*R189*T189</f>
        <v>800000</v>
      </c>
      <c r="W189" s="867"/>
      <c r="X189" s="802"/>
      <c r="Z189" s="596"/>
      <c r="AA189" s="544"/>
      <c r="AB189" s="545"/>
      <c r="AC189" s="545"/>
      <c r="AD189" s="545"/>
      <c r="AE189" s="545"/>
      <c r="AF189" s="545"/>
      <c r="AG189" s="545"/>
      <c r="AH189" s="545"/>
    </row>
    <row r="190" spans="1:34" s="65" customFormat="1" ht="15.6" customHeight="1" x14ac:dyDescent="0.3">
      <c r="B190" s="251"/>
      <c r="C190" s="94"/>
      <c r="D190" s="94"/>
      <c r="E190" s="94"/>
      <c r="F190" s="1823" t="s">
        <v>706</v>
      </c>
      <c r="G190" s="1824"/>
      <c r="H190" s="1825">
        <f>H191</f>
        <v>42800000</v>
      </c>
      <c r="I190" s="1825">
        <f t="shared" ref="I190:J190" si="38">I191</f>
        <v>10000000</v>
      </c>
      <c r="J190" s="1825">
        <f t="shared" si="38"/>
        <v>32800000</v>
      </c>
      <c r="K190" s="1826"/>
      <c r="L190" s="1827"/>
      <c r="M190" s="1827"/>
      <c r="N190" s="1828"/>
      <c r="O190" s="1829"/>
      <c r="P190" s="1827"/>
      <c r="Q190" s="1829"/>
      <c r="R190" s="1830"/>
      <c r="S190" s="1831"/>
      <c r="T190" s="1832"/>
      <c r="U190" s="1831"/>
      <c r="V190" s="1833"/>
      <c r="W190" s="1834"/>
      <c r="X190" s="1835"/>
    </row>
    <row r="191" spans="1:34" s="65" customFormat="1" ht="15.6" customHeight="1" x14ac:dyDescent="0.3">
      <c r="B191" s="251"/>
      <c r="C191" s="94"/>
      <c r="D191" s="94"/>
      <c r="E191" s="94"/>
      <c r="F191" s="1836"/>
      <c r="G191" s="1837" t="s">
        <v>681</v>
      </c>
      <c r="H191" s="1785">
        <f>W191</f>
        <v>42800000</v>
      </c>
      <c r="I191" s="1785">
        <v>10000000</v>
      </c>
      <c r="J191" s="1785">
        <f>H191-I191</f>
        <v>32800000</v>
      </c>
      <c r="K191" s="1787" t="s">
        <v>125</v>
      </c>
      <c r="L191" s="1788" t="s">
        <v>135</v>
      </c>
      <c r="M191" s="1838"/>
      <c r="N191" s="1839"/>
      <c r="O191" s="1840"/>
      <c r="P191" s="1841"/>
      <c r="Q191" s="1842"/>
      <c r="R191" s="1843"/>
      <c r="S191" s="1842"/>
      <c r="T191" s="1844"/>
      <c r="U191" s="1842"/>
      <c r="V191" s="1841"/>
      <c r="W191" s="1845">
        <f>SUM(W192:W198)</f>
        <v>42800000</v>
      </c>
      <c r="X191" s="1846"/>
    </row>
    <row r="192" spans="1:34" s="40" customFormat="1" ht="15.95" customHeight="1" x14ac:dyDescent="0.3">
      <c r="B192" s="546"/>
      <c r="C192" s="525"/>
      <c r="D192" s="526"/>
      <c r="E192" s="527"/>
      <c r="F192" s="1796"/>
      <c r="G192" s="1797"/>
      <c r="H192" s="1798"/>
      <c r="I192" s="1798"/>
      <c r="J192" s="1799"/>
      <c r="K192" s="1800" t="s">
        <v>66</v>
      </c>
      <c r="L192" s="1801" t="s">
        <v>279</v>
      </c>
      <c r="M192" s="1802"/>
      <c r="N192" s="1803"/>
      <c r="O192" s="1804"/>
      <c r="P192" s="1804"/>
      <c r="Q192" s="1805"/>
      <c r="R192" s="1806"/>
      <c r="S192" s="1805"/>
      <c r="T192" s="1807"/>
      <c r="U192" s="1805"/>
      <c r="V192" s="1808"/>
      <c r="W192" s="1808">
        <f>SUM(V193:V198)</f>
        <v>42800000</v>
      </c>
      <c r="X192" s="1809"/>
      <c r="AB192" s="72"/>
    </row>
    <row r="193" spans="1:34" s="79" customFormat="1" ht="15.6" customHeight="1" x14ac:dyDescent="0.3">
      <c r="A193" s="7"/>
      <c r="B193" s="251"/>
      <c r="C193" s="94"/>
      <c r="E193" s="94"/>
      <c r="F193" s="1811"/>
      <c r="G193" s="1811"/>
      <c r="H193" s="1812"/>
      <c r="I193" s="1812"/>
      <c r="J193" s="1812"/>
      <c r="K193" s="1813"/>
      <c r="L193" s="1814" t="s">
        <v>380</v>
      </c>
      <c r="M193" s="1815"/>
      <c r="N193" s="1816"/>
      <c r="O193" s="1817"/>
      <c r="P193" s="1816">
        <v>5000000</v>
      </c>
      <c r="Q193" s="1817" t="s">
        <v>80</v>
      </c>
      <c r="R193" s="1818">
        <v>1</v>
      </c>
      <c r="S193" s="1817" t="s">
        <v>80</v>
      </c>
      <c r="T193" s="1847">
        <v>1</v>
      </c>
      <c r="U193" s="1817" t="s">
        <v>98</v>
      </c>
      <c r="V193" s="1816">
        <f t="shared" ref="V193:V198" si="39">P193*R193*T193</f>
        <v>5000000</v>
      </c>
      <c r="W193" s="1819"/>
      <c r="X193" s="1820"/>
      <c r="Z193" s="544"/>
      <c r="AA193" s="544"/>
      <c r="AB193" s="545"/>
      <c r="AC193" s="545"/>
      <c r="AD193" s="545"/>
      <c r="AE193" s="545"/>
      <c r="AF193" s="545"/>
      <c r="AG193" s="545"/>
      <c r="AH193" s="545"/>
    </row>
    <row r="194" spans="1:34" ht="15.6" customHeight="1" x14ac:dyDescent="0.3">
      <c r="A194" s="3"/>
      <c r="B194" s="251"/>
      <c r="C194" s="94"/>
      <c r="E194" s="94"/>
      <c r="F194" s="1811"/>
      <c r="G194" s="1811"/>
      <c r="H194" s="1812"/>
      <c r="I194" s="1812"/>
      <c r="J194" s="1812"/>
      <c r="K194" s="1813"/>
      <c r="L194" s="1814" t="s">
        <v>723</v>
      </c>
      <c r="M194" s="1815"/>
      <c r="N194" s="1816"/>
      <c r="O194" s="1817"/>
      <c r="P194" s="1816">
        <v>500000</v>
      </c>
      <c r="Q194" s="1817" t="s">
        <v>80</v>
      </c>
      <c r="R194" s="1818">
        <v>1</v>
      </c>
      <c r="S194" s="1817" t="s">
        <v>80</v>
      </c>
      <c r="T194" s="1847">
        <v>4</v>
      </c>
      <c r="U194" s="1817" t="s">
        <v>98</v>
      </c>
      <c r="V194" s="1816">
        <f t="shared" si="39"/>
        <v>2000000</v>
      </c>
      <c r="W194" s="1819"/>
      <c r="X194" s="1820"/>
      <c r="Z194" s="544"/>
      <c r="AA194" s="544"/>
      <c r="AB194" s="545"/>
      <c r="AC194" s="545"/>
      <c r="AD194" s="545"/>
      <c r="AE194" s="545"/>
      <c r="AF194" s="545"/>
      <c r="AG194" s="545"/>
      <c r="AH194" s="545"/>
    </row>
    <row r="195" spans="1:34" ht="15.6" customHeight="1" x14ac:dyDescent="0.3">
      <c r="A195" s="3"/>
      <c r="B195" s="251"/>
      <c r="C195" s="94"/>
      <c r="E195" s="94"/>
      <c r="F195" s="1811"/>
      <c r="G195" s="1811"/>
      <c r="H195" s="1812"/>
      <c r="I195" s="1812"/>
      <c r="J195" s="1812"/>
      <c r="K195" s="1813"/>
      <c r="L195" s="1814" t="s">
        <v>707</v>
      </c>
      <c r="M195" s="1815"/>
      <c r="N195" s="1816"/>
      <c r="O195" s="1817"/>
      <c r="P195" s="1816">
        <v>1000000</v>
      </c>
      <c r="Q195" s="1817" t="s">
        <v>80</v>
      </c>
      <c r="R195" s="1818">
        <v>1</v>
      </c>
      <c r="S195" s="1817" t="s">
        <v>80</v>
      </c>
      <c r="T195" s="1847">
        <v>1</v>
      </c>
      <c r="U195" s="1817" t="s">
        <v>98</v>
      </c>
      <c r="V195" s="1816">
        <f t="shared" si="39"/>
        <v>1000000</v>
      </c>
      <c r="W195" s="1819"/>
      <c r="X195" s="1820"/>
      <c r="Z195" s="544"/>
      <c r="AA195" s="544"/>
      <c r="AB195" s="545"/>
      <c r="AC195" s="545"/>
      <c r="AD195" s="545"/>
      <c r="AE195" s="545"/>
      <c r="AF195" s="545"/>
      <c r="AG195" s="545"/>
      <c r="AH195" s="545"/>
    </row>
    <row r="196" spans="1:34" ht="15.6" customHeight="1" x14ac:dyDescent="0.3">
      <c r="A196" s="3"/>
      <c r="B196" s="251"/>
      <c r="C196" s="94"/>
      <c r="E196" s="94"/>
      <c r="F196" s="1811"/>
      <c r="G196" s="1811"/>
      <c r="H196" s="1812"/>
      <c r="I196" s="1812"/>
      <c r="J196" s="1812"/>
      <c r="K196" s="1813"/>
      <c r="L196" s="1814" t="s">
        <v>379</v>
      </c>
      <c r="M196" s="1815"/>
      <c r="N196" s="1816"/>
      <c r="O196" s="1817"/>
      <c r="P196" s="1816">
        <v>120000</v>
      </c>
      <c r="Q196" s="1817" t="s">
        <v>80</v>
      </c>
      <c r="R196" s="1818">
        <v>1</v>
      </c>
      <c r="S196" s="1817" t="s">
        <v>80</v>
      </c>
      <c r="T196" s="1847">
        <v>40</v>
      </c>
      <c r="U196" s="1817" t="s">
        <v>98</v>
      </c>
      <c r="V196" s="1816">
        <f t="shared" si="39"/>
        <v>4800000</v>
      </c>
      <c r="W196" s="1819"/>
      <c r="X196" s="1820"/>
      <c r="Z196" s="544"/>
      <c r="AA196" s="544"/>
      <c r="AB196" s="545"/>
      <c r="AC196" s="545"/>
      <c r="AD196" s="545"/>
      <c r="AE196" s="545"/>
      <c r="AF196" s="545"/>
      <c r="AG196" s="545"/>
      <c r="AH196" s="545"/>
    </row>
    <row r="197" spans="1:34" ht="15.6" customHeight="1" x14ac:dyDescent="0.3">
      <c r="A197" s="3"/>
      <c r="B197" s="251"/>
      <c r="C197" s="94"/>
      <c r="E197" s="94"/>
      <c r="F197" s="1811"/>
      <c r="G197" s="1811"/>
      <c r="H197" s="1812"/>
      <c r="I197" s="1812"/>
      <c r="J197" s="1812"/>
      <c r="K197" s="1813"/>
      <c r="L197" s="1814" t="s">
        <v>401</v>
      </c>
      <c r="M197" s="1815"/>
      <c r="N197" s="1816"/>
      <c r="O197" s="1817"/>
      <c r="P197" s="1816">
        <v>25000000</v>
      </c>
      <c r="Q197" s="1817" t="s">
        <v>80</v>
      </c>
      <c r="R197" s="1818">
        <v>1</v>
      </c>
      <c r="S197" s="1817" t="s">
        <v>80</v>
      </c>
      <c r="T197" s="1847">
        <v>1</v>
      </c>
      <c r="U197" s="1817" t="s">
        <v>98</v>
      </c>
      <c r="V197" s="1816">
        <f t="shared" si="39"/>
        <v>25000000</v>
      </c>
      <c r="W197" s="1819"/>
      <c r="X197" s="1820"/>
      <c r="Z197" s="544"/>
      <c r="AA197" s="544"/>
      <c r="AB197" s="545"/>
      <c r="AC197" s="545"/>
      <c r="AD197" s="545"/>
      <c r="AE197" s="545"/>
      <c r="AF197" s="545"/>
      <c r="AG197" s="545"/>
      <c r="AH197" s="545"/>
    </row>
    <row r="198" spans="1:34" s="79" customFormat="1" ht="15.6" customHeight="1" x14ac:dyDescent="0.3">
      <c r="A198" s="7"/>
      <c r="B198" s="251"/>
      <c r="C198" s="94"/>
      <c r="E198" s="94"/>
      <c r="F198" s="1811"/>
      <c r="G198" s="1811"/>
      <c r="H198" s="1812"/>
      <c r="I198" s="1812"/>
      <c r="J198" s="1812"/>
      <c r="K198" s="1813"/>
      <c r="L198" s="1814" t="s">
        <v>399</v>
      </c>
      <c r="M198" s="1815"/>
      <c r="N198" s="1816"/>
      <c r="O198" s="1817"/>
      <c r="P198" s="1816">
        <v>5000000</v>
      </c>
      <c r="Q198" s="1817" t="s">
        <v>80</v>
      </c>
      <c r="R198" s="1818">
        <v>1</v>
      </c>
      <c r="S198" s="1817" t="s">
        <v>80</v>
      </c>
      <c r="T198" s="1847">
        <v>1</v>
      </c>
      <c r="U198" s="1817" t="s">
        <v>98</v>
      </c>
      <c r="V198" s="1816">
        <f t="shared" si="39"/>
        <v>5000000</v>
      </c>
      <c r="W198" s="1819"/>
      <c r="X198" s="1820"/>
      <c r="Z198" s="544"/>
      <c r="AA198" s="544"/>
      <c r="AB198" s="545"/>
      <c r="AC198" s="545"/>
      <c r="AD198" s="545"/>
      <c r="AE198" s="545"/>
      <c r="AF198" s="545"/>
      <c r="AG198" s="545"/>
      <c r="AH198" s="545"/>
    </row>
    <row r="199" spans="1:34" s="40" customFormat="1" ht="15.6" customHeight="1" x14ac:dyDescent="0.3">
      <c r="B199" s="245"/>
      <c r="C199" s="360"/>
      <c r="D199" s="361"/>
      <c r="E199" s="360"/>
      <c r="F199" s="1770" t="s">
        <v>192</v>
      </c>
      <c r="G199" s="1771"/>
      <c r="H199" s="1772">
        <f>H200</f>
        <v>246000000</v>
      </c>
      <c r="I199" s="1773">
        <f>I200</f>
        <v>206000000</v>
      </c>
      <c r="J199" s="1772">
        <f>H199-I199</f>
        <v>40000000</v>
      </c>
      <c r="K199" s="1774"/>
      <c r="L199" s="1775"/>
      <c r="M199" s="1776"/>
      <c r="N199" s="1777"/>
      <c r="O199" s="1778"/>
      <c r="P199" s="1777"/>
      <c r="Q199" s="1779"/>
      <c r="R199" s="1778"/>
      <c r="S199" s="1779"/>
      <c r="T199" s="1779"/>
      <c r="U199" s="1779"/>
      <c r="V199" s="1780"/>
      <c r="W199" s="1781"/>
      <c r="X199" s="1782"/>
      <c r="Z199" s="373"/>
      <c r="AB199" s="72"/>
    </row>
    <row r="200" spans="1:34" s="40" customFormat="1" ht="15.6" customHeight="1" x14ac:dyDescent="0.3">
      <c r="B200" s="245"/>
      <c r="C200" s="360"/>
      <c r="D200" s="361"/>
      <c r="E200" s="360"/>
      <c r="F200" s="1783"/>
      <c r="G200" s="1784" t="s">
        <v>192</v>
      </c>
      <c r="H200" s="1785">
        <f>W200</f>
        <v>246000000</v>
      </c>
      <c r="I200" s="1786">
        <v>206000000</v>
      </c>
      <c r="J200" s="1786">
        <f>H200-I200</f>
        <v>40000000</v>
      </c>
      <c r="K200" s="1787" t="s">
        <v>125</v>
      </c>
      <c r="L200" s="1788" t="s">
        <v>325</v>
      </c>
      <c r="M200" s="1789"/>
      <c r="N200" s="1790"/>
      <c r="O200" s="1791"/>
      <c r="P200" s="1790"/>
      <c r="Q200" s="1792"/>
      <c r="R200" s="1791"/>
      <c r="S200" s="1792"/>
      <c r="T200" s="1792"/>
      <c r="U200" s="1792"/>
      <c r="V200" s="1793"/>
      <c r="W200" s="1794">
        <f>W201</f>
        <v>246000000</v>
      </c>
      <c r="X200" s="1795"/>
      <c r="Z200" s="373"/>
      <c r="AB200" s="72"/>
    </row>
    <row r="201" spans="1:34" s="40" customFormat="1" ht="15.95" customHeight="1" x14ac:dyDescent="0.3">
      <c r="B201" s="546"/>
      <c r="C201" s="525"/>
      <c r="D201" s="526"/>
      <c r="E201" s="527"/>
      <c r="F201" s="1796"/>
      <c r="G201" s="1797"/>
      <c r="H201" s="1798"/>
      <c r="I201" s="1798"/>
      <c r="J201" s="1799"/>
      <c r="K201" s="1800" t="s">
        <v>66</v>
      </c>
      <c r="L201" s="1801" t="s">
        <v>279</v>
      </c>
      <c r="M201" s="1802"/>
      <c r="N201" s="1803"/>
      <c r="O201" s="1804"/>
      <c r="P201" s="1804"/>
      <c r="Q201" s="1805"/>
      <c r="R201" s="1806"/>
      <c r="S201" s="1805"/>
      <c r="T201" s="1807"/>
      <c r="U201" s="1805"/>
      <c r="V201" s="1808"/>
      <c r="W201" s="1808">
        <f>SUM(V202:V204)</f>
        <v>246000000</v>
      </c>
      <c r="X201" s="1809"/>
      <c r="AB201" s="72"/>
    </row>
    <row r="202" spans="1:34" s="79" customFormat="1" ht="15.6" customHeight="1" x14ac:dyDescent="0.3">
      <c r="A202" s="7"/>
      <c r="B202" s="251"/>
      <c r="C202" s="94"/>
      <c r="E202" s="94"/>
      <c r="F202" s="1810"/>
      <c r="G202" s="1811"/>
      <c r="H202" s="1812"/>
      <c r="I202" s="1812"/>
      <c r="J202" s="1812"/>
      <c r="K202" s="1813"/>
      <c r="L202" s="1861" t="s">
        <v>717</v>
      </c>
      <c r="M202" s="1862"/>
      <c r="N202" s="1863"/>
      <c r="O202" s="1864"/>
      <c r="P202" s="1865">
        <v>20000000</v>
      </c>
      <c r="Q202" s="1864" t="s">
        <v>80</v>
      </c>
      <c r="R202" s="1866">
        <v>1</v>
      </c>
      <c r="S202" s="1864" t="s">
        <v>80</v>
      </c>
      <c r="T202" s="1861">
        <v>12</v>
      </c>
      <c r="U202" s="1864" t="s">
        <v>98</v>
      </c>
      <c r="V202" s="1863">
        <f>P202*R202*T202</f>
        <v>240000000</v>
      </c>
      <c r="W202" s="1819"/>
      <c r="X202" s="1820"/>
      <c r="Z202" s="544"/>
      <c r="AA202" s="544"/>
      <c r="AB202" s="545"/>
      <c r="AC202" s="545"/>
      <c r="AD202" s="545"/>
      <c r="AE202" s="545"/>
      <c r="AF202" s="545"/>
      <c r="AG202" s="545"/>
      <c r="AH202" s="545"/>
    </row>
    <row r="203" spans="1:34" s="79" customFormat="1" ht="15.6" customHeight="1" x14ac:dyDescent="0.3">
      <c r="A203" s="7"/>
      <c r="B203" s="251"/>
      <c r="C203" s="94"/>
      <c r="E203" s="94"/>
      <c r="F203" s="1810"/>
      <c r="G203" s="1811"/>
      <c r="H203" s="1812"/>
      <c r="I203" s="1812"/>
      <c r="J203" s="1812"/>
      <c r="K203" s="1813"/>
      <c r="L203" s="1814" t="s">
        <v>724</v>
      </c>
      <c r="M203" s="1814"/>
      <c r="N203" s="1821"/>
      <c r="O203" s="1814"/>
      <c r="P203" s="1822">
        <v>416000</v>
      </c>
      <c r="Q203" s="1817" t="s">
        <v>80</v>
      </c>
      <c r="R203" s="1818">
        <v>1</v>
      </c>
      <c r="S203" s="1817" t="s">
        <v>80</v>
      </c>
      <c r="T203" s="1814">
        <v>12</v>
      </c>
      <c r="U203" s="1817" t="s">
        <v>98</v>
      </c>
      <c r="V203" s="1816">
        <f>P203*R203*T203+8000</f>
        <v>5000000</v>
      </c>
      <c r="W203" s="1819"/>
      <c r="X203" s="1820"/>
      <c r="Z203" s="544"/>
      <c r="AA203" s="544"/>
      <c r="AB203" s="545"/>
      <c r="AC203" s="545"/>
      <c r="AD203" s="545"/>
      <c r="AE203" s="545"/>
      <c r="AF203" s="545"/>
      <c r="AG203" s="545"/>
      <c r="AH203" s="545"/>
    </row>
    <row r="204" spans="1:34" s="79" customFormat="1" ht="15.6" customHeight="1" x14ac:dyDescent="0.3">
      <c r="A204" s="7"/>
      <c r="B204" s="251"/>
      <c r="C204" s="94"/>
      <c r="E204" s="94"/>
      <c r="F204" s="1810"/>
      <c r="G204" s="1811"/>
      <c r="H204" s="1812"/>
      <c r="I204" s="1812"/>
      <c r="J204" s="1812"/>
      <c r="K204" s="1813"/>
      <c r="L204" s="1814" t="s">
        <v>718</v>
      </c>
      <c r="M204" s="1814"/>
      <c r="N204" s="1821"/>
      <c r="O204" s="1814"/>
      <c r="P204" s="1822">
        <v>250000</v>
      </c>
      <c r="Q204" s="1817" t="s">
        <v>80</v>
      </c>
      <c r="R204" s="1818">
        <v>1</v>
      </c>
      <c r="S204" s="1817" t="s">
        <v>80</v>
      </c>
      <c r="T204" s="1814">
        <v>4</v>
      </c>
      <c r="U204" s="1817" t="s">
        <v>98</v>
      </c>
      <c r="V204" s="1816">
        <f>P204*R204*T204</f>
        <v>1000000</v>
      </c>
      <c r="W204" s="1819"/>
      <c r="X204" s="1820"/>
      <c r="Z204" s="544"/>
      <c r="AA204" s="544"/>
      <c r="AB204" s="545"/>
      <c r="AC204" s="545"/>
      <c r="AD204" s="545"/>
      <c r="AE204" s="545"/>
      <c r="AF204" s="545"/>
      <c r="AG204" s="545"/>
      <c r="AH204" s="545"/>
    </row>
    <row r="205" spans="1:34" s="65" customFormat="1" ht="15.6" customHeight="1" x14ac:dyDescent="0.3">
      <c r="B205" s="251"/>
      <c r="C205" s="94"/>
      <c r="D205" s="94"/>
      <c r="E205" s="94"/>
      <c r="F205" s="136" t="s">
        <v>699</v>
      </c>
      <c r="G205" s="95"/>
      <c r="H205" s="96">
        <f>H206+H207</f>
        <v>0</v>
      </c>
      <c r="I205" s="96">
        <f t="shared" ref="I205:J205" si="40">I206+I207</f>
        <v>0</v>
      </c>
      <c r="J205" s="96">
        <f t="shared" si="40"/>
        <v>0</v>
      </c>
      <c r="K205" s="97"/>
      <c r="L205" s="132"/>
      <c r="M205" s="132"/>
      <c r="N205" s="354"/>
      <c r="O205" s="355"/>
      <c r="P205" s="132"/>
      <c r="Q205" s="355"/>
      <c r="R205" s="104"/>
      <c r="S205" s="103"/>
      <c r="T205" s="105"/>
      <c r="U205" s="103"/>
      <c r="V205" s="100"/>
      <c r="W205" s="28"/>
      <c r="X205" s="106"/>
      <c r="Z205" s="66"/>
    </row>
    <row r="206" spans="1:34" s="65" customFormat="1" ht="15.6" customHeight="1" x14ac:dyDescent="0.3">
      <c r="B206" s="251"/>
      <c r="C206" s="94"/>
      <c r="D206" s="94"/>
      <c r="E206" s="94"/>
      <c r="F206" s="77"/>
      <c r="G206" s="68" t="s">
        <v>676</v>
      </c>
      <c r="H206" s="69">
        <f>W206</f>
        <v>0</v>
      </c>
      <c r="I206" s="69">
        <v>0</v>
      </c>
      <c r="J206" s="69">
        <f>H206-I206</f>
        <v>0</v>
      </c>
      <c r="K206" s="70"/>
      <c r="L206" s="870"/>
      <c r="M206" s="871"/>
      <c r="N206" s="872"/>
      <c r="O206" s="874"/>
      <c r="P206" s="875"/>
      <c r="Q206" s="956"/>
      <c r="R206" s="873"/>
      <c r="S206" s="956"/>
      <c r="T206" s="957"/>
      <c r="U206" s="956"/>
      <c r="V206" s="875"/>
      <c r="W206" s="958"/>
      <c r="X206" s="71"/>
      <c r="Z206" s="66"/>
    </row>
    <row r="207" spans="1:34" s="65" customFormat="1" ht="15.6" customHeight="1" x14ac:dyDescent="0.3">
      <c r="B207" s="251"/>
      <c r="C207" s="94"/>
      <c r="D207" s="94"/>
      <c r="E207" s="94"/>
      <c r="F207" s="77"/>
      <c r="G207" s="68" t="s">
        <v>691</v>
      </c>
      <c r="H207" s="69">
        <f>W207</f>
        <v>0</v>
      </c>
      <c r="I207" s="69">
        <v>0</v>
      </c>
      <c r="J207" s="69">
        <f>H207-I207</f>
        <v>0</v>
      </c>
      <c r="K207" s="70"/>
      <c r="L207" s="870"/>
      <c r="M207" s="871"/>
      <c r="N207" s="872"/>
      <c r="O207" s="874"/>
      <c r="P207" s="875"/>
      <c r="Q207" s="956"/>
      <c r="R207" s="873"/>
      <c r="S207" s="956"/>
      <c r="T207" s="957"/>
      <c r="U207" s="956"/>
      <c r="V207" s="875"/>
      <c r="W207" s="958"/>
      <c r="X207" s="71"/>
      <c r="Z207" s="66"/>
    </row>
    <row r="208" spans="1:34" s="65" customFormat="1" ht="15.6" customHeight="1" x14ac:dyDescent="0.3">
      <c r="B208" s="251"/>
      <c r="C208" s="94"/>
      <c r="D208" s="94"/>
      <c r="E208" s="94"/>
      <c r="F208" s="136" t="s">
        <v>190</v>
      </c>
      <c r="G208" s="95"/>
      <c r="H208" s="96">
        <f>H209</f>
        <v>0</v>
      </c>
      <c r="I208" s="96">
        <f t="shared" ref="I208:J208" si="41">I209</f>
        <v>0</v>
      </c>
      <c r="J208" s="96">
        <f t="shared" si="41"/>
        <v>0</v>
      </c>
      <c r="K208" s="97"/>
      <c r="L208" s="132"/>
      <c r="M208" s="132"/>
      <c r="N208" s="354"/>
      <c r="O208" s="355"/>
      <c r="P208" s="132"/>
      <c r="Q208" s="355"/>
      <c r="R208" s="104"/>
      <c r="S208" s="103"/>
      <c r="T208" s="105"/>
      <c r="U208" s="103"/>
      <c r="V208" s="100"/>
      <c r="W208" s="28"/>
      <c r="X208" s="106"/>
      <c r="Z208" s="66"/>
    </row>
    <row r="209" spans="1:34" s="65" customFormat="1" ht="15.6" customHeight="1" x14ac:dyDescent="0.3">
      <c r="B209" s="251"/>
      <c r="C209" s="94"/>
      <c r="D209" s="94"/>
      <c r="E209" s="94"/>
      <c r="F209" s="77"/>
      <c r="G209" s="68" t="s">
        <v>190</v>
      </c>
      <c r="H209" s="69">
        <f>W209</f>
        <v>0</v>
      </c>
      <c r="I209" s="69">
        <v>0</v>
      </c>
      <c r="J209" s="69">
        <f>H209-I209</f>
        <v>0</v>
      </c>
      <c r="K209" s="70"/>
      <c r="L209" s="870"/>
      <c r="M209" s="871"/>
      <c r="N209" s="872"/>
      <c r="O209" s="874"/>
      <c r="P209" s="875"/>
      <c r="Q209" s="956"/>
      <c r="R209" s="873"/>
      <c r="S209" s="956"/>
      <c r="T209" s="957"/>
      <c r="U209" s="956"/>
      <c r="V209" s="875"/>
      <c r="W209" s="958"/>
      <c r="X209" s="71"/>
      <c r="Z209" s="66"/>
    </row>
    <row r="210" spans="1:34" s="65" customFormat="1" ht="15.6" customHeight="1" x14ac:dyDescent="0.3">
      <c r="B210" s="251"/>
      <c r="C210" s="94"/>
      <c r="D210" s="94"/>
      <c r="E210" s="94"/>
      <c r="F210" s="136" t="s">
        <v>671</v>
      </c>
      <c r="G210" s="95"/>
      <c r="H210" s="96">
        <f>H211</f>
        <v>41400000</v>
      </c>
      <c r="I210" s="96">
        <f t="shared" ref="I210:J210" si="42">I211</f>
        <v>41400000</v>
      </c>
      <c r="J210" s="96">
        <f t="shared" si="42"/>
        <v>0</v>
      </c>
      <c r="K210" s="97"/>
      <c r="L210" s="132"/>
      <c r="M210" s="132"/>
      <c r="N210" s="354"/>
      <c r="O210" s="355"/>
      <c r="P210" s="132"/>
      <c r="Q210" s="355"/>
      <c r="R210" s="104"/>
      <c r="S210" s="103"/>
      <c r="T210" s="105"/>
      <c r="U210" s="103"/>
      <c r="V210" s="100"/>
      <c r="W210" s="28"/>
      <c r="X210" s="106"/>
    </row>
    <row r="211" spans="1:34" s="65" customFormat="1" ht="15.6" customHeight="1" x14ac:dyDescent="0.3">
      <c r="B211" s="251"/>
      <c r="C211" s="94"/>
      <c r="D211" s="94"/>
      <c r="E211" s="94"/>
      <c r="F211" s="77"/>
      <c r="G211" s="68" t="s">
        <v>671</v>
      </c>
      <c r="H211" s="69">
        <f>W211</f>
        <v>41400000</v>
      </c>
      <c r="I211" s="69">
        <v>41400000</v>
      </c>
      <c r="J211" s="69">
        <f>H211-I211</f>
        <v>0</v>
      </c>
      <c r="K211" s="70" t="s">
        <v>125</v>
      </c>
      <c r="L211" s="870" t="s">
        <v>210</v>
      </c>
      <c r="M211" s="871"/>
      <c r="N211" s="872"/>
      <c r="O211" s="874"/>
      <c r="P211" s="875"/>
      <c r="Q211" s="956"/>
      <c r="R211" s="873"/>
      <c r="S211" s="956"/>
      <c r="T211" s="957"/>
      <c r="U211" s="956"/>
      <c r="V211" s="875"/>
      <c r="W211" s="958">
        <f>SUM(W212:W215)</f>
        <v>41400000</v>
      </c>
      <c r="X211" s="71"/>
    </row>
    <row r="212" spans="1:34" s="40" customFormat="1" ht="15.95" customHeight="1" x14ac:dyDescent="0.3">
      <c r="B212" s="546"/>
      <c r="C212" s="525"/>
      <c r="D212" s="526"/>
      <c r="E212" s="527"/>
      <c r="F212" s="529"/>
      <c r="G212" s="547"/>
      <c r="H212" s="516"/>
      <c r="I212" s="516"/>
      <c r="J212" s="517"/>
      <c r="K212" s="356" t="s">
        <v>66</v>
      </c>
      <c r="L212" s="970" t="s">
        <v>279</v>
      </c>
      <c r="M212" s="918"/>
      <c r="N212" s="919"/>
      <c r="O212" s="920"/>
      <c r="P212" s="920"/>
      <c r="Q212" s="921"/>
      <c r="R212" s="930"/>
      <c r="S212" s="921"/>
      <c r="T212" s="931"/>
      <c r="U212" s="921"/>
      <c r="V212" s="922"/>
      <c r="W212" s="904">
        <f>SUM(V213:V215)</f>
        <v>41400000</v>
      </c>
      <c r="X212" s="524"/>
      <c r="AB212" s="72"/>
    </row>
    <row r="213" spans="1:34" s="79" customFormat="1" ht="15.6" customHeight="1" x14ac:dyDescent="0.3">
      <c r="A213" s="7"/>
      <c r="B213" s="251"/>
      <c r="C213" s="94"/>
      <c r="E213" s="94"/>
      <c r="F213" s="94"/>
      <c r="G213" s="94"/>
      <c r="H213" s="115"/>
      <c r="I213" s="115"/>
      <c r="J213" s="115"/>
      <c r="K213" s="125"/>
      <c r="L213" s="613" t="s">
        <v>722</v>
      </c>
      <c r="M213" s="615"/>
      <c r="N213" s="829"/>
      <c r="O213" s="705"/>
      <c r="P213" s="829">
        <v>600000</v>
      </c>
      <c r="Q213" s="705" t="s">
        <v>80</v>
      </c>
      <c r="R213" s="828">
        <v>1</v>
      </c>
      <c r="S213" s="705" t="s">
        <v>80</v>
      </c>
      <c r="T213" s="736">
        <v>12</v>
      </c>
      <c r="U213" s="705" t="s">
        <v>98</v>
      </c>
      <c r="V213" s="829">
        <f>P213*R213*T213</f>
        <v>7200000</v>
      </c>
      <c r="W213" s="735"/>
      <c r="X213" s="80"/>
      <c r="Z213" s="544"/>
      <c r="AA213" s="544"/>
      <c r="AB213" s="545"/>
      <c r="AC213" s="545"/>
      <c r="AD213" s="545"/>
      <c r="AE213" s="545"/>
      <c r="AF213" s="545"/>
      <c r="AG213" s="545"/>
      <c r="AH213" s="545"/>
    </row>
    <row r="214" spans="1:34" s="79" customFormat="1" ht="15.6" customHeight="1" x14ac:dyDescent="0.3">
      <c r="A214" s="7"/>
      <c r="B214" s="251"/>
      <c r="C214" s="94"/>
      <c r="E214" s="94"/>
      <c r="F214" s="94"/>
      <c r="G214" s="94"/>
      <c r="H214" s="115"/>
      <c r="I214" s="115"/>
      <c r="J214" s="115"/>
      <c r="K214" s="125"/>
      <c r="L214" s="613" t="s">
        <v>492</v>
      </c>
      <c r="M214" s="615"/>
      <c r="N214" s="829"/>
      <c r="O214" s="705"/>
      <c r="P214" s="829">
        <v>150000</v>
      </c>
      <c r="Q214" s="705" t="s">
        <v>80</v>
      </c>
      <c r="R214" s="828">
        <v>1</v>
      </c>
      <c r="S214" s="705" t="s">
        <v>80</v>
      </c>
      <c r="T214" s="736">
        <v>12</v>
      </c>
      <c r="U214" s="705" t="s">
        <v>98</v>
      </c>
      <c r="V214" s="829">
        <f>P214*R214*T214</f>
        <v>1800000</v>
      </c>
      <c r="W214" s="735"/>
      <c r="X214" s="80"/>
      <c r="Z214" s="544"/>
      <c r="AA214" s="544"/>
      <c r="AB214" s="545"/>
      <c r="AC214" s="545"/>
      <c r="AD214" s="545"/>
      <c r="AE214" s="545"/>
      <c r="AF214" s="545"/>
      <c r="AG214" s="545"/>
      <c r="AH214" s="545"/>
    </row>
    <row r="215" spans="1:34" s="79" customFormat="1" ht="15.6" customHeight="1" x14ac:dyDescent="0.3">
      <c r="A215" s="7"/>
      <c r="B215" s="251"/>
      <c r="C215" s="94"/>
      <c r="E215" s="94"/>
      <c r="F215" s="94"/>
      <c r="G215" s="94"/>
      <c r="H215" s="115"/>
      <c r="I215" s="115"/>
      <c r="J215" s="115"/>
      <c r="K215" s="125"/>
      <c r="L215" s="613" t="s">
        <v>715</v>
      </c>
      <c r="M215" s="615"/>
      <c r="N215" s="829"/>
      <c r="O215" s="705"/>
      <c r="P215" s="829">
        <v>2700000</v>
      </c>
      <c r="Q215" s="705" t="s">
        <v>80</v>
      </c>
      <c r="R215" s="828">
        <v>1</v>
      </c>
      <c r="S215" s="705" t="s">
        <v>80</v>
      </c>
      <c r="T215" s="736">
        <v>12</v>
      </c>
      <c r="U215" s="705" t="s">
        <v>98</v>
      </c>
      <c r="V215" s="829">
        <f>P215*R215*T215</f>
        <v>32400000</v>
      </c>
      <c r="W215" s="735"/>
      <c r="X215" s="80"/>
      <c r="Z215" s="544"/>
      <c r="AA215" s="544"/>
      <c r="AB215" s="545"/>
      <c r="AC215" s="545"/>
      <c r="AD215" s="545"/>
      <c r="AE215" s="545"/>
      <c r="AF215" s="545"/>
      <c r="AG215" s="545"/>
      <c r="AH215" s="545"/>
    </row>
    <row r="216" spans="1:34" s="65" customFormat="1" ht="15.6" customHeight="1" x14ac:dyDescent="0.3">
      <c r="B216" s="251"/>
      <c r="C216" s="94"/>
      <c r="D216" s="94"/>
      <c r="E216" s="94"/>
      <c r="F216" s="136" t="s">
        <v>179</v>
      </c>
      <c r="G216" s="95"/>
      <c r="H216" s="96">
        <f>H217</f>
        <v>0</v>
      </c>
      <c r="I216" s="96">
        <f t="shared" ref="I216:J216" si="43">I217</f>
        <v>0</v>
      </c>
      <c r="J216" s="96">
        <f t="shared" si="43"/>
        <v>0</v>
      </c>
      <c r="K216" s="97"/>
      <c r="L216" s="132"/>
      <c r="M216" s="132"/>
      <c r="N216" s="354"/>
      <c r="O216" s="355"/>
      <c r="P216" s="132"/>
      <c r="Q216" s="355"/>
      <c r="R216" s="104"/>
      <c r="S216" s="103"/>
      <c r="T216" s="105"/>
      <c r="U216" s="103"/>
      <c r="V216" s="100"/>
      <c r="W216" s="28"/>
      <c r="X216" s="106"/>
    </row>
    <row r="217" spans="1:34" s="65" customFormat="1" ht="15.6" customHeight="1" x14ac:dyDescent="0.3">
      <c r="B217" s="251"/>
      <c r="C217" s="94"/>
      <c r="D217" s="94"/>
      <c r="E217" s="94"/>
      <c r="F217" s="94"/>
      <c r="G217" s="68" t="s">
        <v>160</v>
      </c>
      <c r="H217" s="69">
        <f>W217</f>
        <v>0</v>
      </c>
      <c r="I217" s="69">
        <v>0</v>
      </c>
      <c r="J217" s="69">
        <f>H217-I217</f>
        <v>0</v>
      </c>
      <c r="K217" s="70"/>
      <c r="L217" s="870"/>
      <c r="M217" s="871"/>
      <c r="N217" s="872"/>
      <c r="O217" s="874"/>
      <c r="P217" s="875"/>
      <c r="Q217" s="956"/>
      <c r="R217" s="873"/>
      <c r="S217" s="956"/>
      <c r="T217" s="957"/>
      <c r="U217" s="956"/>
      <c r="V217" s="875"/>
      <c r="W217" s="958"/>
      <c r="X217" s="71"/>
    </row>
    <row r="218" spans="1:34" s="65" customFormat="1" ht="15.6" customHeight="1" x14ac:dyDescent="0.3">
      <c r="B218" s="251"/>
      <c r="C218" s="94"/>
      <c r="D218" s="78"/>
      <c r="E218" s="94"/>
      <c r="F218" s="136" t="s">
        <v>703</v>
      </c>
      <c r="G218" s="95"/>
      <c r="H218" s="96">
        <f>H219</f>
        <v>0</v>
      </c>
      <c r="I218" s="96">
        <f t="shared" ref="I218:J218" si="44">I219</f>
        <v>0</v>
      </c>
      <c r="J218" s="96">
        <f t="shared" si="44"/>
        <v>0</v>
      </c>
      <c r="K218" s="97"/>
      <c r="L218" s="132"/>
      <c r="M218" s="132"/>
      <c r="N218" s="354"/>
      <c r="O218" s="355"/>
      <c r="P218" s="132"/>
      <c r="Q218" s="355"/>
      <c r="R218" s="104"/>
      <c r="S218" s="103"/>
      <c r="T218" s="105"/>
      <c r="U218" s="103"/>
      <c r="V218" s="100"/>
      <c r="W218" s="28"/>
      <c r="X218" s="106"/>
      <c r="Z218" s="66"/>
    </row>
    <row r="219" spans="1:34" s="65" customFormat="1" ht="15.6" customHeight="1" x14ac:dyDescent="0.3">
      <c r="B219" s="251"/>
      <c r="C219" s="94"/>
      <c r="D219" s="78"/>
      <c r="E219" s="129"/>
      <c r="F219" s="94"/>
      <c r="G219" s="68" t="s">
        <v>704</v>
      </c>
      <c r="H219" s="69">
        <f>W219</f>
        <v>0</v>
      </c>
      <c r="I219" s="69">
        <v>0</v>
      </c>
      <c r="J219" s="69">
        <f>H219-I219</f>
        <v>0</v>
      </c>
      <c r="K219" s="70"/>
      <c r="L219" s="870"/>
      <c r="M219" s="871"/>
      <c r="N219" s="872"/>
      <c r="O219" s="874"/>
      <c r="P219" s="877"/>
      <c r="Q219" s="878"/>
      <c r="R219" s="882"/>
      <c r="S219" s="878"/>
      <c r="T219" s="879"/>
      <c r="U219" s="878"/>
      <c r="V219" s="829"/>
      <c r="W219" s="958"/>
      <c r="X219" s="71"/>
      <c r="Z219" s="66"/>
    </row>
    <row r="220" spans="1:34" s="65" customFormat="1" ht="15.6" customHeight="1" x14ac:dyDescent="0.3">
      <c r="B220" s="251"/>
      <c r="C220" s="94"/>
      <c r="D220" s="75" t="s">
        <v>572</v>
      </c>
      <c r="E220" s="83"/>
      <c r="F220" s="83"/>
      <c r="G220" s="85"/>
      <c r="H220" s="76">
        <f>H221</f>
        <v>0</v>
      </c>
      <c r="I220" s="76">
        <f t="shared" ref="I220:J220" si="45">I221</f>
        <v>0</v>
      </c>
      <c r="J220" s="76">
        <f t="shared" si="45"/>
        <v>0</v>
      </c>
      <c r="K220" s="131"/>
      <c r="L220" s="132"/>
      <c r="M220" s="132"/>
      <c r="N220" s="132"/>
      <c r="O220" s="132"/>
      <c r="P220" s="132"/>
      <c r="Q220" s="132"/>
      <c r="R220" s="133"/>
      <c r="S220" s="134"/>
      <c r="T220" s="134"/>
      <c r="U220" s="134"/>
      <c r="V220" s="135"/>
      <c r="W220" s="28"/>
      <c r="X220" s="106"/>
      <c r="Z220" s="66"/>
    </row>
    <row r="221" spans="1:34" s="65" customFormat="1" ht="15.6" customHeight="1" x14ac:dyDescent="0.3">
      <c r="B221" s="251"/>
      <c r="C221" s="94"/>
      <c r="D221" s="530"/>
      <c r="E221" s="500" t="s">
        <v>578</v>
      </c>
      <c r="F221" s="501"/>
      <c r="G221" s="502"/>
      <c r="H221" s="487">
        <f>H222</f>
        <v>0</v>
      </c>
      <c r="I221" s="492">
        <f>I222</f>
        <v>0</v>
      </c>
      <c r="J221" s="472">
        <f t="shared" ref="J221:J224" si="46">H221-I221</f>
        <v>0</v>
      </c>
      <c r="K221" s="499"/>
      <c r="L221" s="503"/>
      <c r="M221" s="503"/>
      <c r="N221" s="503"/>
      <c r="O221" s="503"/>
      <c r="P221" s="503"/>
      <c r="Q221" s="503"/>
      <c r="R221" s="496"/>
      <c r="S221" s="497"/>
      <c r="T221" s="497"/>
      <c r="U221" s="497"/>
      <c r="V221" s="498"/>
      <c r="W221" s="470"/>
      <c r="X221" s="486"/>
      <c r="Z221" s="66"/>
    </row>
    <row r="222" spans="1:34" s="65" customFormat="1" ht="15.6" customHeight="1" x14ac:dyDescent="0.3">
      <c r="B222" s="251"/>
      <c r="C222" s="94"/>
      <c r="D222" s="530"/>
      <c r="E222" s="504"/>
      <c r="F222" s="501" t="s">
        <v>318</v>
      </c>
      <c r="G222" s="502"/>
      <c r="H222" s="492">
        <f>H224</f>
        <v>0</v>
      </c>
      <c r="I222" s="492">
        <f>I223+I224</f>
        <v>0</v>
      </c>
      <c r="J222" s="472">
        <f t="shared" si="46"/>
        <v>0</v>
      </c>
      <c r="K222" s="499"/>
      <c r="L222" s="503"/>
      <c r="M222" s="503"/>
      <c r="N222" s="503"/>
      <c r="O222" s="503"/>
      <c r="P222" s="503"/>
      <c r="Q222" s="503"/>
      <c r="R222" s="496"/>
      <c r="S222" s="497"/>
      <c r="T222" s="497"/>
      <c r="U222" s="497"/>
      <c r="V222" s="498"/>
      <c r="W222" s="470"/>
      <c r="X222" s="486"/>
      <c r="Z222" s="66"/>
    </row>
    <row r="223" spans="1:34" s="65" customFormat="1" ht="15.6" customHeight="1" x14ac:dyDescent="0.3">
      <c r="B223" s="251"/>
      <c r="C223" s="94"/>
      <c r="D223" s="530"/>
      <c r="E223" s="504"/>
      <c r="F223" s="505"/>
      <c r="G223" s="473" t="s">
        <v>557</v>
      </c>
      <c r="H223" s="472">
        <f>W223</f>
        <v>0</v>
      </c>
      <c r="I223" s="487"/>
      <c r="J223" s="472">
        <f>H223-I223</f>
        <v>0</v>
      </c>
      <c r="K223" s="1565"/>
      <c r="L223" s="1566"/>
      <c r="M223" s="1566"/>
      <c r="N223" s="1566"/>
      <c r="O223" s="1566"/>
      <c r="P223" s="1566"/>
      <c r="Q223" s="1566"/>
      <c r="R223" s="1567"/>
      <c r="S223" s="1568"/>
      <c r="T223" s="1568"/>
      <c r="U223" s="1568"/>
      <c r="V223" s="1569"/>
      <c r="W223" s="1570"/>
      <c r="X223" s="488"/>
      <c r="Z223" s="66"/>
    </row>
    <row r="224" spans="1:34" s="65" customFormat="1" ht="15.6" customHeight="1" x14ac:dyDescent="0.3">
      <c r="B224" s="251"/>
      <c r="C224" s="94"/>
      <c r="D224" s="530"/>
      <c r="E224" s="476"/>
      <c r="F224" s="468"/>
      <c r="G224" s="473" t="s">
        <v>554</v>
      </c>
      <c r="H224" s="472">
        <f>W224</f>
        <v>0</v>
      </c>
      <c r="I224" s="487"/>
      <c r="J224" s="472">
        <f t="shared" si="46"/>
        <v>0</v>
      </c>
      <c r="K224" s="475"/>
      <c r="L224" s="743"/>
      <c r="M224" s="744"/>
      <c r="N224" s="753"/>
      <c r="O224" s="750"/>
      <c r="P224" s="753"/>
      <c r="Q224" s="751"/>
      <c r="R224" s="750"/>
      <c r="S224" s="751"/>
      <c r="T224" s="751"/>
      <c r="U224" s="751"/>
      <c r="V224" s="752"/>
      <c r="W224" s="742"/>
      <c r="X224" s="761"/>
      <c r="Z224" s="66"/>
    </row>
    <row r="225" spans="1:28" s="65" customFormat="1" ht="15.6" customHeight="1" x14ac:dyDescent="0.3">
      <c r="B225" s="251"/>
      <c r="C225" s="75" t="s">
        <v>546</v>
      </c>
      <c r="D225" s="82"/>
      <c r="E225" s="83"/>
      <c r="F225" s="83"/>
      <c r="G225" s="85"/>
      <c r="H225" s="76">
        <f>H226+H240</f>
        <v>13200000</v>
      </c>
      <c r="I225" s="76">
        <f t="shared" ref="I225:J225" si="47">I226+I240</f>
        <v>0</v>
      </c>
      <c r="J225" s="76">
        <f t="shared" si="47"/>
        <v>13200000</v>
      </c>
      <c r="K225" s="131"/>
      <c r="L225" s="132"/>
      <c r="M225" s="132"/>
      <c r="N225" s="132"/>
      <c r="O225" s="132"/>
      <c r="P225" s="132"/>
      <c r="Q225" s="132"/>
      <c r="R225" s="133"/>
      <c r="S225" s="134"/>
      <c r="T225" s="134"/>
      <c r="U225" s="134"/>
      <c r="V225" s="135"/>
      <c r="W225" s="28"/>
      <c r="X225" s="106"/>
      <c r="Z225" s="66"/>
    </row>
    <row r="226" spans="1:28" s="65" customFormat="1" ht="15.6" customHeight="1" x14ac:dyDescent="0.3">
      <c r="B226" s="251"/>
      <c r="C226" s="84"/>
      <c r="D226" s="75" t="s">
        <v>542</v>
      </c>
      <c r="E226" s="83"/>
      <c r="F226" s="83"/>
      <c r="G226" s="85"/>
      <c r="H226" s="76">
        <f>H227+H231+H234</f>
        <v>6000000</v>
      </c>
      <c r="I226" s="76">
        <f t="shared" ref="I226:J226" si="48">I227+I231+I234</f>
        <v>0</v>
      </c>
      <c r="J226" s="76">
        <f t="shared" si="48"/>
        <v>6000000</v>
      </c>
      <c r="K226" s="131"/>
      <c r="L226" s="132"/>
      <c r="M226" s="132"/>
      <c r="N226" s="132"/>
      <c r="O226" s="132"/>
      <c r="P226" s="132"/>
      <c r="Q226" s="132"/>
      <c r="R226" s="133"/>
      <c r="S226" s="134"/>
      <c r="T226" s="134"/>
      <c r="U226" s="134"/>
      <c r="V226" s="135"/>
      <c r="W226" s="28"/>
      <c r="X226" s="106"/>
      <c r="Z226" s="66"/>
    </row>
    <row r="227" spans="1:28" s="515" customFormat="1" ht="15.2" customHeight="1" x14ac:dyDescent="0.3">
      <c r="B227" s="478"/>
      <c r="C227" s="530"/>
      <c r="D227" s="530"/>
      <c r="E227" s="500" t="s">
        <v>212</v>
      </c>
      <c r="F227" s="501"/>
      <c r="G227" s="502"/>
      <c r="H227" s="487">
        <f>H228</f>
        <v>0</v>
      </c>
      <c r="I227" s="492">
        <f>I228</f>
        <v>0</v>
      </c>
      <c r="J227" s="472">
        <f t="shared" ref="J227:J229" si="49">H227-I227</f>
        <v>0</v>
      </c>
      <c r="K227" s="499"/>
      <c r="L227" s="503"/>
      <c r="M227" s="503"/>
      <c r="N227" s="503"/>
      <c r="O227" s="503"/>
      <c r="P227" s="503"/>
      <c r="Q227" s="503"/>
      <c r="R227" s="496"/>
      <c r="S227" s="497"/>
      <c r="T227" s="497"/>
      <c r="U227" s="497"/>
      <c r="V227" s="498"/>
      <c r="W227" s="470"/>
      <c r="X227" s="486"/>
      <c r="Y227" s="528"/>
      <c r="AB227" s="531"/>
    </row>
    <row r="228" spans="1:28" s="515" customFormat="1" ht="15" customHeight="1" x14ac:dyDescent="0.3">
      <c r="B228" s="478"/>
      <c r="C228" s="530"/>
      <c r="D228" s="530"/>
      <c r="E228" s="504"/>
      <c r="F228" s="501" t="s">
        <v>49</v>
      </c>
      <c r="G228" s="502"/>
      <c r="H228" s="492">
        <f>H229+H230</f>
        <v>0</v>
      </c>
      <c r="I228" s="492">
        <f t="shared" ref="I228:J228" si="50">I229+I230</f>
        <v>0</v>
      </c>
      <c r="J228" s="492">
        <f t="shared" si="50"/>
        <v>0</v>
      </c>
      <c r="K228" s="499"/>
      <c r="L228" s="503"/>
      <c r="M228" s="503"/>
      <c r="N228" s="503"/>
      <c r="O228" s="503"/>
      <c r="P228" s="503"/>
      <c r="Q228" s="503"/>
      <c r="R228" s="496"/>
      <c r="S228" s="497"/>
      <c r="T228" s="497"/>
      <c r="U228" s="497"/>
      <c r="V228" s="498"/>
      <c r="W228" s="470"/>
      <c r="X228" s="486"/>
      <c r="Y228" s="528"/>
      <c r="AB228" s="531"/>
    </row>
    <row r="229" spans="1:28" s="515" customFormat="1" ht="15.2" customHeight="1" x14ac:dyDescent="0.3">
      <c r="B229" s="478"/>
      <c r="C229" s="530"/>
      <c r="D229" s="530"/>
      <c r="E229" s="476"/>
      <c r="F229" s="468"/>
      <c r="G229" s="473" t="s">
        <v>154</v>
      </c>
      <c r="H229" s="472">
        <f>W229</f>
        <v>0</v>
      </c>
      <c r="I229" s="487">
        <v>0</v>
      </c>
      <c r="J229" s="472">
        <f t="shared" si="49"/>
        <v>0</v>
      </c>
      <c r="K229" s="475"/>
      <c r="L229" s="743"/>
      <c r="M229" s="744"/>
      <c r="N229" s="753"/>
      <c r="O229" s="750"/>
      <c r="P229" s="753"/>
      <c r="Q229" s="751"/>
      <c r="R229" s="750"/>
      <c r="S229" s="751"/>
      <c r="T229" s="751"/>
      <c r="U229" s="751"/>
      <c r="V229" s="752"/>
      <c r="W229" s="742"/>
      <c r="X229" s="761"/>
      <c r="AB229" s="531"/>
    </row>
    <row r="230" spans="1:28" s="515" customFormat="1" ht="15.2" customHeight="1" x14ac:dyDescent="0.3">
      <c r="B230" s="478"/>
      <c r="C230" s="530"/>
      <c r="D230" s="530"/>
      <c r="E230" s="476"/>
      <c r="F230" s="469"/>
      <c r="G230" s="473" t="s">
        <v>602</v>
      </c>
      <c r="H230" s="472">
        <f>W230</f>
        <v>0</v>
      </c>
      <c r="I230" s="487">
        <v>0</v>
      </c>
      <c r="J230" s="472">
        <f>H230-I230</f>
        <v>0</v>
      </c>
      <c r="K230" s="475"/>
      <c r="L230" s="743"/>
      <c r="M230" s="744"/>
      <c r="N230" s="753"/>
      <c r="O230" s="750"/>
      <c r="P230" s="753"/>
      <c r="Q230" s="751"/>
      <c r="R230" s="750"/>
      <c r="S230" s="751"/>
      <c r="T230" s="751"/>
      <c r="U230" s="751"/>
      <c r="V230" s="752"/>
      <c r="W230" s="742"/>
      <c r="X230" s="866"/>
      <c r="AB230" s="531"/>
    </row>
    <row r="231" spans="1:28" s="550" customFormat="1" ht="15.6" customHeight="1" x14ac:dyDescent="0.3">
      <c r="A231" s="515"/>
      <c r="B231" s="478"/>
      <c r="C231" s="504"/>
      <c r="D231" s="504"/>
      <c r="E231" s="500" t="s">
        <v>612</v>
      </c>
      <c r="F231" s="501"/>
      <c r="G231" s="590"/>
      <c r="H231" s="584">
        <f>H232</f>
        <v>0</v>
      </c>
      <c r="I231" s="584">
        <f t="shared" ref="I231:J232" si="51">I232</f>
        <v>0</v>
      </c>
      <c r="J231" s="584">
        <f t="shared" si="51"/>
        <v>0</v>
      </c>
      <c r="K231" s="176"/>
      <c r="L231" s="591"/>
      <c r="M231" s="591"/>
      <c r="N231" s="591"/>
      <c r="O231" s="591"/>
      <c r="P231" s="591"/>
      <c r="Q231" s="592"/>
      <c r="R231" s="368"/>
      <c r="S231" s="369"/>
      <c r="T231" s="369"/>
      <c r="U231" s="593"/>
      <c r="V231" s="370"/>
      <c r="W231" s="371"/>
      <c r="X231" s="588"/>
    </row>
    <row r="232" spans="1:28" s="550" customFormat="1" ht="15.6" customHeight="1" x14ac:dyDescent="0.3">
      <c r="A232" s="515"/>
      <c r="B232" s="478"/>
      <c r="C232" s="505"/>
      <c r="D232" s="504"/>
      <c r="E232" s="505"/>
      <c r="F232" s="500" t="s">
        <v>616</v>
      </c>
      <c r="G232" s="590"/>
      <c r="H232" s="584">
        <f>H233</f>
        <v>0</v>
      </c>
      <c r="I232" s="584">
        <f t="shared" si="51"/>
        <v>0</v>
      </c>
      <c r="J232" s="584">
        <f t="shared" si="51"/>
        <v>0</v>
      </c>
      <c r="K232" s="176"/>
      <c r="L232" s="591"/>
      <c r="M232" s="591"/>
      <c r="N232" s="591"/>
      <c r="O232" s="591"/>
      <c r="P232" s="591"/>
      <c r="Q232" s="592"/>
      <c r="R232" s="368"/>
      <c r="S232" s="369"/>
      <c r="T232" s="369"/>
      <c r="U232" s="593"/>
      <c r="V232" s="370"/>
      <c r="W232" s="371"/>
      <c r="X232" s="588"/>
    </row>
    <row r="233" spans="1:28" s="550" customFormat="1" ht="15.6" customHeight="1" x14ac:dyDescent="0.3">
      <c r="A233" s="515"/>
      <c r="B233" s="478"/>
      <c r="C233" s="505"/>
      <c r="D233" s="504"/>
      <c r="E233" s="506"/>
      <c r="F233" s="504"/>
      <c r="G233" s="532" t="s">
        <v>649</v>
      </c>
      <c r="H233" s="585">
        <f>W233</f>
        <v>0</v>
      </c>
      <c r="I233" s="583">
        <v>0</v>
      </c>
      <c r="J233" s="585">
        <f>H233-I233</f>
        <v>0</v>
      </c>
      <c r="K233" s="582"/>
      <c r="L233" s="668"/>
      <c r="M233" s="669"/>
      <c r="N233" s="725"/>
      <c r="O233" s="710"/>
      <c r="P233" s="725"/>
      <c r="Q233" s="707"/>
      <c r="R233" s="710"/>
      <c r="S233" s="706"/>
      <c r="T233" s="706"/>
      <c r="U233" s="707"/>
      <c r="V233" s="861"/>
      <c r="W233" s="727"/>
      <c r="X233" s="587"/>
    </row>
    <row r="234" spans="1:28" s="65" customFormat="1" ht="15.6" customHeight="1" x14ac:dyDescent="0.3">
      <c r="B234" s="251"/>
      <c r="C234" s="78"/>
      <c r="D234" s="94"/>
      <c r="E234" s="95" t="s">
        <v>693</v>
      </c>
      <c r="F234" s="137"/>
      <c r="G234" s="95"/>
      <c r="H234" s="96">
        <f>H235</f>
        <v>6000000</v>
      </c>
      <c r="I234" s="96">
        <f>I235</f>
        <v>0</v>
      </c>
      <c r="J234" s="108">
        <f t="shared" ref="J234:J236" si="52">H234-I234</f>
        <v>6000000</v>
      </c>
      <c r="K234" s="131"/>
      <c r="L234" s="132"/>
      <c r="M234" s="132"/>
      <c r="N234" s="132"/>
      <c r="O234" s="132"/>
      <c r="P234" s="132"/>
      <c r="Q234" s="132"/>
      <c r="R234" s="133"/>
      <c r="S234" s="134"/>
      <c r="T234" s="134"/>
      <c r="U234" s="134"/>
      <c r="V234" s="135"/>
      <c r="W234" s="28"/>
      <c r="X234" s="106"/>
      <c r="Z234" s="66"/>
    </row>
    <row r="235" spans="1:28" s="65" customFormat="1" ht="15.6" customHeight="1" x14ac:dyDescent="0.3">
      <c r="B235" s="251"/>
      <c r="C235" s="78"/>
      <c r="D235" s="94"/>
      <c r="E235" s="120"/>
      <c r="F235" s="95" t="s">
        <v>616</v>
      </c>
      <c r="G235" s="95"/>
      <c r="H235" s="96">
        <f>H236</f>
        <v>6000000</v>
      </c>
      <c r="I235" s="96">
        <f>I236</f>
        <v>0</v>
      </c>
      <c r="J235" s="96">
        <f t="shared" si="52"/>
        <v>6000000</v>
      </c>
      <c r="K235" s="131"/>
      <c r="L235" s="132"/>
      <c r="M235" s="132"/>
      <c r="N235" s="132"/>
      <c r="O235" s="132"/>
      <c r="P235" s="132"/>
      <c r="Q235" s="132"/>
      <c r="R235" s="133"/>
      <c r="S235" s="134"/>
      <c r="T235" s="134"/>
      <c r="U235" s="134"/>
      <c r="V235" s="135"/>
      <c r="W235" s="28"/>
      <c r="X235" s="106"/>
      <c r="Z235" s="66"/>
    </row>
    <row r="236" spans="1:28" s="65" customFormat="1" ht="15.6" customHeight="1" x14ac:dyDescent="0.3">
      <c r="B236" s="251"/>
      <c r="C236" s="78"/>
      <c r="D236" s="94"/>
      <c r="E236" s="78"/>
      <c r="F236" s="120"/>
      <c r="G236" s="120" t="s">
        <v>649</v>
      </c>
      <c r="H236" s="108">
        <f>W236</f>
        <v>6000000</v>
      </c>
      <c r="I236" s="108">
        <v>0</v>
      </c>
      <c r="J236" s="108">
        <f t="shared" si="52"/>
        <v>6000000</v>
      </c>
      <c r="K236" s="70" t="s">
        <v>125</v>
      </c>
      <c r="L236" s="870" t="s">
        <v>258</v>
      </c>
      <c r="M236" s="871"/>
      <c r="N236" s="872"/>
      <c r="O236" s="874"/>
      <c r="P236" s="875"/>
      <c r="Q236" s="956"/>
      <c r="R236" s="873"/>
      <c r="S236" s="956"/>
      <c r="T236" s="957"/>
      <c r="U236" s="956"/>
      <c r="V236" s="875"/>
      <c r="W236" s="958">
        <f>SUM(W237:W239)</f>
        <v>6000000</v>
      </c>
      <c r="X236" s="958"/>
      <c r="Z236" s="66"/>
    </row>
    <row r="237" spans="1:28" s="65" customFormat="1" ht="15.6" customHeight="1" x14ac:dyDescent="0.3">
      <c r="B237" s="251"/>
      <c r="C237" s="78"/>
      <c r="D237" s="94"/>
      <c r="E237" s="79"/>
      <c r="F237" s="94"/>
      <c r="G237" s="94"/>
      <c r="H237" s="115"/>
      <c r="I237" s="115"/>
      <c r="J237" s="115"/>
      <c r="K237" s="356" t="s">
        <v>66</v>
      </c>
      <c r="L237" s="883" t="s">
        <v>279</v>
      </c>
      <c r="M237" s="673"/>
      <c r="N237" s="880"/>
      <c r="O237" s="985"/>
      <c r="P237" s="877"/>
      <c r="Q237" s="878"/>
      <c r="R237" s="882"/>
      <c r="S237" s="878"/>
      <c r="T237" s="879"/>
      <c r="U237" s="878"/>
      <c r="V237" s="877"/>
      <c r="W237" s="877">
        <f>SUM(V238:V239)</f>
        <v>6000000</v>
      </c>
      <c r="X237" s="986"/>
      <c r="Z237" s="66"/>
    </row>
    <row r="238" spans="1:28" s="65" customFormat="1" ht="15.6" customHeight="1" x14ac:dyDescent="0.3">
      <c r="B238" s="251"/>
      <c r="C238" s="78"/>
      <c r="D238" s="94"/>
      <c r="E238" s="79"/>
      <c r="F238" s="94"/>
      <c r="G238" s="94"/>
      <c r="H238" s="115"/>
      <c r="I238" s="115"/>
      <c r="J238" s="115"/>
      <c r="K238" s="116"/>
      <c r="L238" s="627" t="s">
        <v>522</v>
      </c>
      <c r="M238" s="613"/>
      <c r="N238" s="732"/>
      <c r="O238" s="613"/>
      <c r="P238" s="733">
        <v>1500000</v>
      </c>
      <c r="Q238" s="705"/>
      <c r="R238" s="828"/>
      <c r="S238" s="705" t="s">
        <v>80</v>
      </c>
      <c r="T238" s="736">
        <v>2</v>
      </c>
      <c r="U238" s="705" t="s">
        <v>98</v>
      </c>
      <c r="V238" s="829">
        <f>P238*T238</f>
        <v>3000000</v>
      </c>
      <c r="W238" s="726"/>
      <c r="X238" s="986"/>
      <c r="Z238" s="66"/>
    </row>
    <row r="239" spans="1:28" s="65" customFormat="1" ht="15.6" customHeight="1" x14ac:dyDescent="0.3">
      <c r="B239" s="251"/>
      <c r="C239" s="78"/>
      <c r="D239" s="94"/>
      <c r="E239" s="79"/>
      <c r="F239" s="94"/>
      <c r="G239" s="94"/>
      <c r="H239" s="115"/>
      <c r="I239" s="115"/>
      <c r="J239" s="115"/>
      <c r="K239" s="194"/>
      <c r="L239" s="627" t="s">
        <v>193</v>
      </c>
      <c r="M239" s="627"/>
      <c r="N239" s="627"/>
      <c r="O239" s="920"/>
      <c r="P239" s="920">
        <v>1500000</v>
      </c>
      <c r="Q239" s="921"/>
      <c r="R239" s="930"/>
      <c r="S239" s="921" t="s">
        <v>80</v>
      </c>
      <c r="T239" s="931">
        <v>2</v>
      </c>
      <c r="U239" s="921" t="s">
        <v>98</v>
      </c>
      <c r="V239" s="922">
        <f>P239*T239</f>
        <v>3000000</v>
      </c>
      <c r="W239" s="899"/>
      <c r="X239" s="986"/>
      <c r="Z239" s="66"/>
    </row>
    <row r="240" spans="1:28" s="65" customFormat="1" ht="15.6" customHeight="1" x14ac:dyDescent="0.3">
      <c r="B240" s="251"/>
      <c r="C240" s="84"/>
      <c r="D240" s="75" t="s">
        <v>777</v>
      </c>
      <c r="E240" s="83"/>
      <c r="F240" s="83"/>
      <c r="G240" s="85"/>
      <c r="H240" s="76">
        <f>H241+H246</f>
        <v>7200000</v>
      </c>
      <c r="I240" s="76">
        <f t="shared" ref="I240:J240" si="53">I241+I246</f>
        <v>0</v>
      </c>
      <c r="J240" s="76">
        <f t="shared" si="53"/>
        <v>7200000</v>
      </c>
      <c r="K240" s="131"/>
      <c r="L240" s="132"/>
      <c r="M240" s="132"/>
      <c r="N240" s="132"/>
      <c r="O240" s="132"/>
      <c r="P240" s="132"/>
      <c r="Q240" s="132"/>
      <c r="R240" s="133"/>
      <c r="S240" s="134"/>
      <c r="T240" s="134"/>
      <c r="U240" s="134"/>
      <c r="V240" s="135"/>
      <c r="W240" s="28"/>
      <c r="X240" s="106"/>
      <c r="Z240" s="66"/>
    </row>
    <row r="241" spans="2:28" s="65" customFormat="1" ht="15.6" customHeight="1" x14ac:dyDescent="0.3">
      <c r="B241" s="251"/>
      <c r="C241" s="94"/>
      <c r="D241" s="94"/>
      <c r="E241" s="95" t="s">
        <v>694</v>
      </c>
      <c r="F241" s="137"/>
      <c r="G241" s="95"/>
      <c r="H241" s="96">
        <f>H242</f>
        <v>7200000</v>
      </c>
      <c r="I241" s="96">
        <f>I242</f>
        <v>0</v>
      </c>
      <c r="J241" s="108">
        <f t="shared" ref="J241:J248" si="54">H241-I241</f>
        <v>7200000</v>
      </c>
      <c r="K241" s="131"/>
      <c r="L241" s="132"/>
      <c r="M241" s="132"/>
      <c r="N241" s="132"/>
      <c r="O241" s="132"/>
      <c r="P241" s="132"/>
      <c r="Q241" s="132"/>
      <c r="R241" s="133"/>
      <c r="S241" s="134"/>
      <c r="T241" s="134"/>
      <c r="U241" s="134"/>
      <c r="V241" s="135"/>
      <c r="W241" s="28"/>
      <c r="X241" s="106"/>
      <c r="Z241" s="66"/>
    </row>
    <row r="242" spans="2:28" s="65" customFormat="1" ht="15.6" customHeight="1" x14ac:dyDescent="0.3">
      <c r="B242" s="251"/>
      <c r="C242" s="94"/>
      <c r="D242" s="94"/>
      <c r="E242" s="120"/>
      <c r="F242" s="95" t="s">
        <v>682</v>
      </c>
      <c r="G242" s="95"/>
      <c r="H242" s="96">
        <f>H243</f>
        <v>7200000</v>
      </c>
      <c r="I242" s="96">
        <f>I243</f>
        <v>0</v>
      </c>
      <c r="J242" s="96">
        <f t="shared" si="54"/>
        <v>7200000</v>
      </c>
      <c r="K242" s="131"/>
      <c r="L242" s="132"/>
      <c r="M242" s="132"/>
      <c r="N242" s="132"/>
      <c r="O242" s="132"/>
      <c r="P242" s="132"/>
      <c r="Q242" s="132"/>
      <c r="R242" s="133"/>
      <c r="S242" s="134"/>
      <c r="T242" s="134"/>
      <c r="U242" s="134"/>
      <c r="V242" s="135"/>
      <c r="W242" s="28"/>
      <c r="X242" s="106"/>
      <c r="Z242" s="66"/>
    </row>
    <row r="243" spans="2:28" s="65" customFormat="1" ht="15.6" customHeight="1" x14ac:dyDescent="0.3">
      <c r="B243" s="251"/>
      <c r="C243" s="94"/>
      <c r="D243" s="94"/>
      <c r="E243" s="78"/>
      <c r="F243" s="2025"/>
      <c r="G243" s="120" t="s">
        <v>682</v>
      </c>
      <c r="H243" s="108">
        <f>W243</f>
        <v>7200000</v>
      </c>
      <c r="I243" s="108">
        <v>0</v>
      </c>
      <c r="J243" s="108">
        <f t="shared" si="54"/>
        <v>7200000</v>
      </c>
      <c r="K243" s="70" t="s">
        <v>125</v>
      </c>
      <c r="L243" s="870" t="s">
        <v>792</v>
      </c>
      <c r="M243" s="871"/>
      <c r="N243" s="872"/>
      <c r="O243" s="874"/>
      <c r="P243" s="875"/>
      <c r="Q243" s="956"/>
      <c r="R243" s="873"/>
      <c r="S243" s="956"/>
      <c r="T243" s="957"/>
      <c r="U243" s="956"/>
      <c r="V243" s="875"/>
      <c r="W243" s="958">
        <f>W244</f>
        <v>7200000</v>
      </c>
      <c r="X243" s="958"/>
      <c r="Z243" s="66"/>
    </row>
    <row r="244" spans="2:28" s="65" customFormat="1" ht="15.6" customHeight="1" x14ac:dyDescent="0.3">
      <c r="B244" s="251"/>
      <c r="C244" s="78"/>
      <c r="D244" s="94"/>
      <c r="E244" s="1858"/>
      <c r="F244" s="2026"/>
      <c r="G244" s="94"/>
      <c r="H244" s="115"/>
      <c r="I244" s="115"/>
      <c r="J244" s="115"/>
      <c r="K244" s="356" t="s">
        <v>66</v>
      </c>
      <c r="L244" s="883" t="s">
        <v>279</v>
      </c>
      <c r="M244" s="673"/>
      <c r="N244" s="880"/>
      <c r="O244" s="985"/>
      <c r="P244" s="877"/>
      <c r="Q244" s="878"/>
      <c r="R244" s="882"/>
      <c r="S244" s="878"/>
      <c r="T244" s="879"/>
      <c r="U244" s="878"/>
      <c r="V244" s="877"/>
      <c r="W244" s="877">
        <f>SUM(V245:V246)</f>
        <v>7200000</v>
      </c>
      <c r="X244" s="1859"/>
      <c r="Z244" s="66"/>
    </row>
    <row r="245" spans="2:28" s="65" customFormat="1" ht="15.6" customHeight="1" x14ac:dyDescent="0.3">
      <c r="B245" s="251"/>
      <c r="C245" s="78"/>
      <c r="D245" s="94"/>
      <c r="E245" s="1858"/>
      <c r="F245" s="1860"/>
      <c r="G245" s="94"/>
      <c r="H245" s="115"/>
      <c r="I245" s="115"/>
      <c r="J245" s="115"/>
      <c r="K245" s="116"/>
      <c r="L245" s="627" t="s">
        <v>793</v>
      </c>
      <c r="M245" s="613"/>
      <c r="N245" s="732"/>
      <c r="O245" s="613"/>
      <c r="P245" s="733">
        <v>600000</v>
      </c>
      <c r="Q245" s="705"/>
      <c r="R245" s="828"/>
      <c r="S245" s="705" t="s">
        <v>80</v>
      </c>
      <c r="T245" s="736">
        <v>12</v>
      </c>
      <c r="U245" s="705" t="s">
        <v>98</v>
      </c>
      <c r="V245" s="829">
        <f>P245*T245</f>
        <v>7200000</v>
      </c>
      <c r="W245" s="726"/>
      <c r="X245" s="1859"/>
      <c r="Z245" s="66"/>
    </row>
    <row r="246" spans="2:28" s="65" customFormat="1" ht="15.6" customHeight="1" x14ac:dyDescent="0.3">
      <c r="B246" s="251"/>
      <c r="C246" s="78"/>
      <c r="D246" s="94"/>
      <c r="E246" s="95" t="s">
        <v>689</v>
      </c>
      <c r="F246" s="137"/>
      <c r="G246" s="95"/>
      <c r="H246" s="96">
        <f>H247</f>
        <v>0</v>
      </c>
      <c r="I246" s="96">
        <f>I247</f>
        <v>0</v>
      </c>
      <c r="J246" s="108">
        <f t="shared" si="54"/>
        <v>0</v>
      </c>
      <c r="K246" s="131"/>
      <c r="L246" s="132"/>
      <c r="M246" s="132"/>
      <c r="N246" s="132"/>
      <c r="O246" s="132"/>
      <c r="P246" s="132"/>
      <c r="Q246" s="132"/>
      <c r="R246" s="133"/>
      <c r="S246" s="134"/>
      <c r="T246" s="134"/>
      <c r="U246" s="134"/>
      <c r="V246" s="135"/>
      <c r="W246" s="28"/>
      <c r="X246" s="106"/>
      <c r="Z246" s="66"/>
    </row>
    <row r="247" spans="2:28" s="65" customFormat="1" ht="15.6" customHeight="1" x14ac:dyDescent="0.3">
      <c r="B247" s="251"/>
      <c r="C247" s="78"/>
      <c r="D247" s="94"/>
      <c r="E247" s="120"/>
      <c r="F247" s="95" t="s">
        <v>529</v>
      </c>
      <c r="G247" s="95"/>
      <c r="H247" s="96">
        <f>H248</f>
        <v>0</v>
      </c>
      <c r="I247" s="96">
        <f>I248</f>
        <v>0</v>
      </c>
      <c r="J247" s="96">
        <f t="shared" si="54"/>
        <v>0</v>
      </c>
      <c r="K247" s="131"/>
      <c r="L247" s="132"/>
      <c r="M247" s="132"/>
      <c r="N247" s="132"/>
      <c r="O247" s="132"/>
      <c r="P247" s="132"/>
      <c r="Q247" s="132"/>
      <c r="R247" s="133"/>
      <c r="S247" s="134"/>
      <c r="T247" s="134"/>
      <c r="U247" s="134"/>
      <c r="V247" s="135"/>
      <c r="W247" s="28"/>
      <c r="X247" s="106"/>
      <c r="Z247" s="66"/>
    </row>
    <row r="248" spans="2:28" s="65" customFormat="1" ht="15.6" customHeight="1" x14ac:dyDescent="0.3">
      <c r="B248" s="251"/>
      <c r="C248" s="78"/>
      <c r="D248" s="94"/>
      <c r="E248" s="94"/>
      <c r="F248" s="120"/>
      <c r="G248" s="120" t="s">
        <v>529</v>
      </c>
      <c r="H248" s="108">
        <f>W248</f>
        <v>0</v>
      </c>
      <c r="I248" s="108">
        <v>0</v>
      </c>
      <c r="J248" s="108">
        <f t="shared" si="54"/>
        <v>0</v>
      </c>
      <c r="K248" s="70"/>
      <c r="L248" s="870"/>
      <c r="M248" s="871"/>
      <c r="N248" s="872"/>
      <c r="O248" s="874"/>
      <c r="P248" s="875"/>
      <c r="Q248" s="956"/>
      <c r="R248" s="873"/>
      <c r="S248" s="956"/>
      <c r="T248" s="957"/>
      <c r="U248" s="956"/>
      <c r="V248" s="875"/>
      <c r="W248" s="958"/>
      <c r="X248" s="958"/>
      <c r="Z248" s="66"/>
    </row>
    <row r="249" spans="2:28" s="65" customFormat="1" ht="15.6" customHeight="1" x14ac:dyDescent="0.3">
      <c r="B249" s="251"/>
      <c r="C249" s="2019" t="s">
        <v>300</v>
      </c>
      <c r="D249" s="2020"/>
      <c r="E249" s="2020"/>
      <c r="F249" s="2020"/>
      <c r="G249" s="2021"/>
      <c r="H249" s="76">
        <f>H250</f>
        <v>0</v>
      </c>
      <c r="I249" s="76">
        <f t="shared" ref="I249:J249" si="55">I250</f>
        <v>0</v>
      </c>
      <c r="J249" s="76">
        <f t="shared" si="55"/>
        <v>0</v>
      </c>
      <c r="K249" s="131"/>
      <c r="L249" s="132"/>
      <c r="M249" s="132"/>
      <c r="N249" s="132"/>
      <c r="O249" s="132"/>
      <c r="P249" s="132"/>
      <c r="Q249" s="132"/>
      <c r="R249" s="133"/>
      <c r="S249" s="134"/>
      <c r="T249" s="134"/>
      <c r="U249" s="134"/>
      <c r="V249" s="135"/>
      <c r="W249" s="28"/>
      <c r="X249" s="106"/>
      <c r="Z249" s="66"/>
    </row>
    <row r="250" spans="2:28" s="65" customFormat="1" ht="15.6" customHeight="1" x14ac:dyDescent="0.3">
      <c r="B250" s="251"/>
      <c r="C250" s="84"/>
      <c r="D250" s="75" t="s">
        <v>271</v>
      </c>
      <c r="E250" s="83"/>
      <c r="F250" s="83"/>
      <c r="G250" s="85"/>
      <c r="H250" s="76">
        <f>H251</f>
        <v>0</v>
      </c>
      <c r="I250" s="76">
        <f t="shared" ref="I250:J250" si="56">I251</f>
        <v>0</v>
      </c>
      <c r="J250" s="76">
        <f t="shared" si="56"/>
        <v>0</v>
      </c>
      <c r="K250" s="131"/>
      <c r="L250" s="132"/>
      <c r="M250" s="132"/>
      <c r="N250" s="132"/>
      <c r="O250" s="132"/>
      <c r="P250" s="132"/>
      <c r="Q250" s="132"/>
      <c r="R250" s="133"/>
      <c r="S250" s="134"/>
      <c r="T250" s="134"/>
      <c r="U250" s="134"/>
      <c r="V250" s="135"/>
      <c r="W250" s="28"/>
      <c r="X250" s="106"/>
      <c r="Z250" s="66"/>
    </row>
    <row r="251" spans="2:28" s="65" customFormat="1" ht="15.6" customHeight="1" x14ac:dyDescent="0.3">
      <c r="B251" s="251"/>
      <c r="C251" s="530"/>
      <c r="D251" s="530"/>
      <c r="E251" s="500" t="s">
        <v>271</v>
      </c>
      <c r="F251" s="501"/>
      <c r="G251" s="502"/>
      <c r="H251" s="487">
        <f>H252</f>
        <v>0</v>
      </c>
      <c r="I251" s="492">
        <f>I252</f>
        <v>0</v>
      </c>
      <c r="J251" s="472">
        <f t="shared" ref="J251:J253" si="57">H251-I251</f>
        <v>0</v>
      </c>
      <c r="K251" s="499"/>
      <c r="L251" s="503"/>
      <c r="M251" s="503"/>
      <c r="N251" s="503"/>
      <c r="O251" s="503"/>
      <c r="P251" s="503"/>
      <c r="Q251" s="503"/>
      <c r="R251" s="496"/>
      <c r="S251" s="497"/>
      <c r="T251" s="497"/>
      <c r="U251" s="497"/>
      <c r="V251" s="498"/>
      <c r="W251" s="470"/>
      <c r="X251" s="486"/>
      <c r="Z251" s="66"/>
    </row>
    <row r="252" spans="2:28" s="65" customFormat="1" ht="15.6" customHeight="1" x14ac:dyDescent="0.3">
      <c r="B252" s="251"/>
      <c r="C252" s="530"/>
      <c r="D252" s="530"/>
      <c r="E252" s="504"/>
      <c r="F252" s="501" t="s">
        <v>271</v>
      </c>
      <c r="G252" s="502"/>
      <c r="H252" s="492">
        <f>H253</f>
        <v>0</v>
      </c>
      <c r="I252" s="492">
        <f>I253</f>
        <v>0</v>
      </c>
      <c r="J252" s="472">
        <f t="shared" si="57"/>
        <v>0</v>
      </c>
      <c r="K252" s="499"/>
      <c r="L252" s="503"/>
      <c r="M252" s="503"/>
      <c r="N252" s="503"/>
      <c r="O252" s="503"/>
      <c r="P252" s="503"/>
      <c r="Q252" s="503"/>
      <c r="R252" s="496"/>
      <c r="S252" s="497"/>
      <c r="T252" s="497"/>
      <c r="U252" s="497"/>
      <c r="V252" s="498"/>
      <c r="W252" s="470"/>
      <c r="X252" s="486"/>
      <c r="Z252" s="66"/>
    </row>
    <row r="253" spans="2:28" s="65" customFormat="1" ht="15.6" customHeight="1" x14ac:dyDescent="0.3">
      <c r="B253" s="251"/>
      <c r="C253" s="530"/>
      <c r="D253" s="530"/>
      <c r="E253" s="476"/>
      <c r="F253" s="468"/>
      <c r="G253" s="473" t="s">
        <v>271</v>
      </c>
      <c r="H253" s="472">
        <f>W253</f>
        <v>0</v>
      </c>
      <c r="I253" s="487">
        <v>0</v>
      </c>
      <c r="J253" s="472">
        <f t="shared" si="57"/>
        <v>0</v>
      </c>
      <c r="K253" s="475"/>
      <c r="L253" s="743"/>
      <c r="M253" s="744"/>
      <c r="N253" s="753"/>
      <c r="O253" s="750"/>
      <c r="P253" s="900"/>
      <c r="Q253" s="901"/>
      <c r="R253" s="902"/>
      <c r="S253" s="901"/>
      <c r="T253" s="995"/>
      <c r="U253" s="901"/>
      <c r="V253" s="904"/>
      <c r="W253" s="742"/>
      <c r="X253" s="761"/>
      <c r="Z253" s="66"/>
    </row>
    <row r="254" spans="2:28" s="40" customFormat="1" ht="16.350000000000001" customHeight="1" x14ac:dyDescent="0.3">
      <c r="B254" s="943" t="s">
        <v>702</v>
      </c>
      <c r="C254" s="944"/>
      <c r="D254" s="945"/>
      <c r="E254" s="945"/>
      <c r="F254" s="945"/>
      <c r="G254" s="945"/>
      <c r="H254" s="946">
        <f>H255+H289</f>
        <v>47900000</v>
      </c>
      <c r="I254" s="946">
        <f t="shared" ref="I254:J254" si="58">I255+I289</f>
        <v>62000000</v>
      </c>
      <c r="J254" s="946">
        <f t="shared" si="58"/>
        <v>-14100000</v>
      </c>
      <c r="K254" s="947"/>
      <c r="L254" s="948"/>
      <c r="M254" s="948"/>
      <c r="N254" s="949"/>
      <c r="O254" s="949"/>
      <c r="P254" s="949"/>
      <c r="Q254" s="948"/>
      <c r="R254" s="949"/>
      <c r="S254" s="948"/>
      <c r="T254" s="948"/>
      <c r="U254" s="948"/>
      <c r="V254" s="950"/>
      <c r="W254" s="951"/>
      <c r="X254" s="952"/>
      <c r="Z254" s="373"/>
      <c r="AB254" s="72"/>
    </row>
    <row r="255" spans="2:28" s="40" customFormat="1" ht="16.350000000000001" customHeight="1" x14ac:dyDescent="0.3">
      <c r="B255" s="394"/>
      <c r="C255" s="396" t="s">
        <v>538</v>
      </c>
      <c r="D255" s="397"/>
      <c r="E255" s="398"/>
      <c r="F255" s="398"/>
      <c r="G255" s="399"/>
      <c r="H255" s="400">
        <f>H256</f>
        <v>47900000</v>
      </c>
      <c r="I255" s="400">
        <f t="shared" ref="I255:J255" si="59">I256</f>
        <v>62000000</v>
      </c>
      <c r="J255" s="400">
        <f t="shared" si="59"/>
        <v>-14100000</v>
      </c>
      <c r="K255" s="401"/>
      <c r="L255" s="41"/>
      <c r="M255" s="41"/>
      <c r="N255" s="402"/>
      <c r="O255" s="403"/>
      <c r="P255" s="402"/>
      <c r="Q255" s="404"/>
      <c r="R255" s="403"/>
      <c r="S255" s="404"/>
      <c r="T255" s="404"/>
      <c r="U255" s="404"/>
      <c r="V255" s="405"/>
      <c r="W255" s="406"/>
      <c r="X255" s="357"/>
      <c r="Z255" s="373"/>
      <c r="AB255" s="72"/>
    </row>
    <row r="256" spans="2:28" s="40" customFormat="1" ht="16.350000000000001" customHeight="1" x14ac:dyDescent="0.3">
      <c r="B256" s="244"/>
      <c r="C256" s="407"/>
      <c r="D256" s="408" t="s">
        <v>643</v>
      </c>
      <c r="E256" s="409"/>
      <c r="F256" s="398"/>
      <c r="G256" s="399"/>
      <c r="H256" s="400">
        <f>H257</f>
        <v>47900000</v>
      </c>
      <c r="I256" s="400">
        <f t="shared" ref="I256:J256" si="60">I257</f>
        <v>62000000</v>
      </c>
      <c r="J256" s="400">
        <f t="shared" si="60"/>
        <v>-14100000</v>
      </c>
      <c r="K256" s="45"/>
      <c r="L256" s="44"/>
      <c r="M256" s="44"/>
      <c r="N256" s="410"/>
      <c r="O256" s="411"/>
      <c r="P256" s="410"/>
      <c r="Q256" s="412"/>
      <c r="R256" s="411"/>
      <c r="S256" s="412"/>
      <c r="T256" s="412"/>
      <c r="U256" s="412"/>
      <c r="V256" s="413"/>
      <c r="W256" s="414"/>
      <c r="X256" s="415"/>
      <c r="Z256" s="373"/>
      <c r="AB256" s="72"/>
    </row>
    <row r="257" spans="1:34" s="40" customFormat="1" ht="16.350000000000001" customHeight="1" x14ac:dyDescent="0.3">
      <c r="B257" s="244"/>
      <c r="C257" s="220"/>
      <c r="D257" s="416"/>
      <c r="E257" s="417" t="s">
        <v>628</v>
      </c>
      <c r="F257" s="397"/>
      <c r="G257" s="399"/>
      <c r="H257" s="400">
        <f>H258+H268+H270+H274+H279+H285+H287</f>
        <v>47900000</v>
      </c>
      <c r="I257" s="400">
        <f t="shared" ref="I257:J257" si="61">I258+I268+I270+I274+I279+I285+I287</f>
        <v>62000000</v>
      </c>
      <c r="J257" s="400">
        <f t="shared" si="61"/>
        <v>-14100000</v>
      </c>
      <c r="K257" s="45"/>
      <c r="L257" s="418"/>
      <c r="M257" s="44"/>
      <c r="N257" s="410"/>
      <c r="O257" s="411"/>
      <c r="P257" s="410"/>
      <c r="Q257" s="412"/>
      <c r="R257" s="411"/>
      <c r="S257" s="412"/>
      <c r="T257" s="412"/>
      <c r="U257" s="412"/>
      <c r="V257" s="413"/>
      <c r="W257" s="414"/>
      <c r="X257" s="415"/>
      <c r="Z257" s="373"/>
      <c r="AB257" s="72"/>
    </row>
    <row r="258" spans="1:34" s="40" customFormat="1" ht="16.350000000000001" customHeight="1" x14ac:dyDescent="0.3">
      <c r="B258" s="245"/>
      <c r="C258" s="360"/>
      <c r="D258" s="361"/>
      <c r="E258" s="360"/>
      <c r="F258" s="419" t="s">
        <v>551</v>
      </c>
      <c r="G258" s="363"/>
      <c r="H258" s="393">
        <f>H259+H262+H263+H264</f>
        <v>6100000</v>
      </c>
      <c r="I258" s="393">
        <f t="shared" ref="I258:J258" si="62">I259+I262+I263+I264</f>
        <v>7200000</v>
      </c>
      <c r="J258" s="393">
        <f t="shared" si="62"/>
        <v>-1100000</v>
      </c>
      <c r="K258" s="420"/>
      <c r="L258" s="73"/>
      <c r="M258" s="46"/>
      <c r="N258" s="367"/>
      <c r="O258" s="368"/>
      <c r="P258" s="367"/>
      <c r="Q258" s="369"/>
      <c r="R258" s="368"/>
      <c r="S258" s="369"/>
      <c r="T258" s="369"/>
      <c r="U258" s="369"/>
      <c r="V258" s="370"/>
      <c r="W258" s="371"/>
      <c r="X258" s="372"/>
      <c r="Z258" s="373"/>
      <c r="AB258" s="72"/>
    </row>
    <row r="259" spans="1:34" s="40" customFormat="1" ht="16.350000000000001" customHeight="1" x14ac:dyDescent="0.3">
      <c r="B259" s="245"/>
      <c r="C259" s="360"/>
      <c r="D259" s="361"/>
      <c r="E259" s="360"/>
      <c r="F259" s="375"/>
      <c r="G259" s="375" t="s">
        <v>650</v>
      </c>
      <c r="H259" s="421">
        <f>W259</f>
        <v>4000000</v>
      </c>
      <c r="I259" s="421">
        <v>4000000</v>
      </c>
      <c r="J259" s="422">
        <f>H259-I259</f>
        <v>0</v>
      </c>
      <c r="K259" s="45" t="s">
        <v>125</v>
      </c>
      <c r="L259" s="668" t="s">
        <v>180</v>
      </c>
      <c r="M259" s="669"/>
      <c r="N259" s="669"/>
      <c r="O259" s="669"/>
      <c r="P259" s="669"/>
      <c r="Q259" s="670"/>
      <c r="R259" s="710"/>
      <c r="S259" s="706"/>
      <c r="T259" s="706"/>
      <c r="U259" s="706"/>
      <c r="V259" s="861"/>
      <c r="W259" s="727">
        <f>SUM(W260:W261)</f>
        <v>4000000</v>
      </c>
      <c r="X259" s="357"/>
      <c r="Z259" s="373"/>
      <c r="AB259" s="72"/>
    </row>
    <row r="260" spans="1:34" s="65" customFormat="1" ht="16.350000000000001" customHeight="1" x14ac:dyDescent="0.3">
      <c r="B260" s="251"/>
      <c r="C260" s="94"/>
      <c r="D260" s="94"/>
      <c r="E260" s="94"/>
      <c r="F260" s="79"/>
      <c r="G260" s="94"/>
      <c r="H260" s="115"/>
      <c r="I260" s="115"/>
      <c r="J260" s="115"/>
      <c r="K260" s="466" t="s">
        <v>66</v>
      </c>
      <c r="L260" s="677" t="s">
        <v>279</v>
      </c>
      <c r="M260" s="606"/>
      <c r="N260" s="606"/>
      <c r="O260" s="606"/>
      <c r="P260" s="606"/>
      <c r="Q260" s="636"/>
      <c r="R260" s="712"/>
      <c r="S260" s="708"/>
      <c r="T260" s="708"/>
      <c r="U260" s="708"/>
      <c r="V260" s="862"/>
      <c r="W260" s="726">
        <f>V261</f>
        <v>4000000</v>
      </c>
      <c r="X260" s="80"/>
    </row>
    <row r="261" spans="1:34" s="79" customFormat="1" ht="16.350000000000001" customHeight="1" x14ac:dyDescent="0.3">
      <c r="A261" s="7"/>
      <c r="B261" s="251"/>
      <c r="C261" s="94"/>
      <c r="E261" s="94"/>
      <c r="F261" s="94"/>
      <c r="G261" s="94"/>
      <c r="H261" s="115"/>
      <c r="I261" s="115"/>
      <c r="J261" s="115"/>
      <c r="K261" s="125"/>
      <c r="L261" s="613" t="s">
        <v>422</v>
      </c>
      <c r="M261" s="615"/>
      <c r="N261" s="829"/>
      <c r="O261" s="705"/>
      <c r="P261" s="829">
        <v>1000000</v>
      </c>
      <c r="Q261" s="705" t="s">
        <v>80</v>
      </c>
      <c r="R261" s="828">
        <v>1</v>
      </c>
      <c r="S261" s="705" t="s">
        <v>80</v>
      </c>
      <c r="T261" s="736">
        <v>4</v>
      </c>
      <c r="U261" s="705" t="s">
        <v>98</v>
      </c>
      <c r="V261" s="829">
        <f>P261*R261*T261</f>
        <v>4000000</v>
      </c>
      <c r="W261" s="801"/>
      <c r="X261" s="80"/>
      <c r="Z261" s="544"/>
      <c r="AA261" s="544"/>
      <c r="AB261" s="545"/>
      <c r="AC261" s="545"/>
      <c r="AD261" s="545"/>
      <c r="AE261" s="545"/>
      <c r="AF261" s="545"/>
      <c r="AG261" s="545"/>
      <c r="AH261" s="545"/>
    </row>
    <row r="262" spans="1:34" s="40" customFormat="1" ht="16.350000000000001" customHeight="1" x14ac:dyDescent="0.3">
      <c r="B262" s="424"/>
      <c r="C262" s="196"/>
      <c r="D262" s="61"/>
      <c r="E262" s="196"/>
      <c r="F262" s="360"/>
      <c r="G262" s="375" t="s">
        <v>534</v>
      </c>
      <c r="H262" s="422">
        <f>W262</f>
        <v>0</v>
      </c>
      <c r="I262" s="381">
        <v>0</v>
      </c>
      <c r="J262" s="422">
        <f>H262-I262</f>
        <v>0</v>
      </c>
      <c r="K262" s="45"/>
      <c r="L262" s="668"/>
      <c r="M262" s="669"/>
      <c r="N262" s="669"/>
      <c r="O262" s="669"/>
      <c r="P262" s="669"/>
      <c r="Q262" s="670"/>
      <c r="R262" s="710"/>
      <c r="S262" s="706"/>
      <c r="T262" s="706"/>
      <c r="U262" s="706"/>
      <c r="V262" s="861"/>
      <c r="W262" s="727"/>
      <c r="X262" s="357"/>
      <c r="Z262" s="373"/>
      <c r="AB262" s="72"/>
    </row>
    <row r="263" spans="1:34" s="40" customFormat="1" ht="15" customHeight="1" x14ac:dyDescent="0.3">
      <c r="B263" s="489"/>
      <c r="C263" s="490"/>
      <c r="D263" s="465"/>
      <c r="E263" s="490"/>
      <c r="F263" s="476"/>
      <c r="G263" s="473" t="s">
        <v>213</v>
      </c>
      <c r="H263" s="472">
        <f>W263</f>
        <v>0</v>
      </c>
      <c r="I263" s="487">
        <v>0</v>
      </c>
      <c r="J263" s="472">
        <f>H263-I263</f>
        <v>0</v>
      </c>
      <c r="K263" s="474"/>
      <c r="L263" s="743"/>
      <c r="M263" s="907"/>
      <c r="N263" s="908"/>
      <c r="O263" s="909"/>
      <c r="P263" s="909"/>
      <c r="Q263" s="910"/>
      <c r="R263" s="911"/>
      <c r="S263" s="910"/>
      <c r="T263" s="912"/>
      <c r="U263" s="910"/>
      <c r="V263" s="913"/>
      <c r="W263" s="914"/>
      <c r="X263" s="433"/>
      <c r="AB263" s="72"/>
    </row>
    <row r="264" spans="1:34" s="40" customFormat="1" ht="14.25" customHeight="1" x14ac:dyDescent="0.3">
      <c r="B264" s="424"/>
      <c r="C264" s="196"/>
      <c r="D264" s="61"/>
      <c r="E264" s="196"/>
      <c r="F264" s="360"/>
      <c r="G264" s="375" t="s">
        <v>623</v>
      </c>
      <c r="H264" s="422">
        <f>W264</f>
        <v>2100000</v>
      </c>
      <c r="I264" s="381">
        <v>3200000</v>
      </c>
      <c r="J264" s="422">
        <f>H264-I264</f>
        <v>-1100000</v>
      </c>
      <c r="K264" s="45" t="s">
        <v>125</v>
      </c>
      <c r="L264" s="668" t="s">
        <v>185</v>
      </c>
      <c r="M264" s="669"/>
      <c r="N264" s="725"/>
      <c r="O264" s="710"/>
      <c r="P264" s="725"/>
      <c r="Q264" s="706"/>
      <c r="R264" s="710"/>
      <c r="S264" s="706"/>
      <c r="T264" s="706"/>
      <c r="U264" s="706"/>
      <c r="V264" s="861"/>
      <c r="W264" s="727">
        <f>SUM(W265:W267)</f>
        <v>2100000</v>
      </c>
      <c r="X264" s="357"/>
      <c r="Z264" s="373"/>
      <c r="AB264" s="72"/>
    </row>
    <row r="265" spans="1:34" s="40" customFormat="1" ht="16.350000000000001" customHeight="1" x14ac:dyDescent="0.3">
      <c r="B265" s="245"/>
      <c r="C265" s="360"/>
      <c r="D265" s="361"/>
      <c r="E265" s="360"/>
      <c r="F265" s="360"/>
      <c r="G265" s="360"/>
      <c r="H265" s="423"/>
      <c r="I265" s="376"/>
      <c r="J265" s="221"/>
      <c r="K265" s="466" t="s">
        <v>66</v>
      </c>
      <c r="L265" s="635" t="s">
        <v>279</v>
      </c>
      <c r="M265" s="606"/>
      <c r="N265" s="606"/>
      <c r="O265" s="606"/>
      <c r="P265" s="606"/>
      <c r="Q265" s="636"/>
      <c r="R265" s="712"/>
      <c r="S265" s="708"/>
      <c r="T265" s="708"/>
      <c r="U265" s="708"/>
      <c r="V265" s="862"/>
      <c r="W265" s="726">
        <f>SUM(V266:V267)</f>
        <v>2100000</v>
      </c>
      <c r="X265" s="358"/>
      <c r="Z265" s="373"/>
      <c r="AB265" s="72"/>
    </row>
    <row r="266" spans="1:34" s="79" customFormat="1" ht="16.350000000000001" customHeight="1" x14ac:dyDescent="0.3">
      <c r="A266" s="7"/>
      <c r="B266" s="251"/>
      <c r="C266" s="94"/>
      <c r="E266" s="94"/>
      <c r="F266" s="94"/>
      <c r="G266" s="94"/>
      <c r="H266" s="115"/>
      <c r="I266" s="115"/>
      <c r="J266" s="115"/>
      <c r="K266" s="119"/>
      <c r="L266" s="613" t="s">
        <v>513</v>
      </c>
      <c r="M266" s="613"/>
      <c r="N266" s="732"/>
      <c r="O266" s="705"/>
      <c r="P266" s="829">
        <v>100000</v>
      </c>
      <c r="Q266" s="705" t="s">
        <v>80</v>
      </c>
      <c r="R266" s="828">
        <v>3</v>
      </c>
      <c r="S266" s="705" t="s">
        <v>80</v>
      </c>
      <c r="T266" s="828">
        <v>5</v>
      </c>
      <c r="U266" s="615" t="s">
        <v>98</v>
      </c>
      <c r="V266" s="829">
        <f>P266*R266*T266</f>
        <v>1500000</v>
      </c>
      <c r="W266" s="801"/>
      <c r="X266" s="80"/>
      <c r="Z266" s="544"/>
      <c r="AA266" s="544"/>
      <c r="AB266" s="545"/>
      <c r="AC266" s="545"/>
      <c r="AD266" s="545"/>
      <c r="AE266" s="545"/>
      <c r="AF266" s="545"/>
      <c r="AG266" s="545"/>
      <c r="AH266" s="545"/>
    </row>
    <row r="267" spans="1:34" s="79" customFormat="1" ht="16.350000000000001" customHeight="1" x14ac:dyDescent="0.3">
      <c r="A267" s="7"/>
      <c r="B267" s="251"/>
      <c r="C267" s="94"/>
      <c r="E267" s="94"/>
      <c r="F267" s="94"/>
      <c r="G267" s="94"/>
      <c r="H267" s="115"/>
      <c r="I267" s="115"/>
      <c r="J267" s="115"/>
      <c r="K267" s="119"/>
      <c r="L267" s="613" t="s">
        <v>165</v>
      </c>
      <c r="M267" s="613"/>
      <c r="N267" s="613"/>
      <c r="O267" s="613"/>
      <c r="P267" s="733">
        <v>300000</v>
      </c>
      <c r="Q267" s="705" t="s">
        <v>80</v>
      </c>
      <c r="R267" s="828">
        <v>1</v>
      </c>
      <c r="S267" s="705" t="s">
        <v>80</v>
      </c>
      <c r="T267" s="828">
        <v>2</v>
      </c>
      <c r="U267" s="615" t="s">
        <v>98</v>
      </c>
      <c r="V267" s="733">
        <f>P267*R267*T267</f>
        <v>600000</v>
      </c>
      <c r="W267" s="801"/>
      <c r="X267" s="80"/>
      <c r="Z267" s="544"/>
      <c r="AA267" s="544"/>
      <c r="AB267" s="545"/>
      <c r="AC267" s="545"/>
      <c r="AD267" s="545"/>
      <c r="AE267" s="545"/>
      <c r="AF267" s="545"/>
      <c r="AG267" s="545"/>
      <c r="AH267" s="545"/>
    </row>
    <row r="268" spans="1:34" s="40" customFormat="1" ht="16.350000000000001" customHeight="1" x14ac:dyDescent="0.3">
      <c r="B268" s="245"/>
      <c r="C268" s="360"/>
      <c r="D268" s="361"/>
      <c r="E268" s="360"/>
      <c r="F268" s="375" t="s">
        <v>233</v>
      </c>
      <c r="G268" s="426"/>
      <c r="H268" s="427">
        <f>H269</f>
        <v>0</v>
      </c>
      <c r="I268" s="427">
        <f>I269</f>
        <v>0</v>
      </c>
      <c r="J268" s="427">
        <f t="shared" ref="J268:J269" si="63">H268-I268</f>
        <v>0</v>
      </c>
      <c r="K268" s="428"/>
      <c r="L268" s="923"/>
      <c r="M268" s="924"/>
      <c r="N268" s="925"/>
      <c r="O268" s="926"/>
      <c r="P268" s="925"/>
      <c r="Q268" s="927"/>
      <c r="R268" s="926"/>
      <c r="S268" s="927"/>
      <c r="T268" s="927"/>
      <c r="U268" s="927"/>
      <c r="V268" s="928"/>
      <c r="W268" s="929"/>
      <c r="X268" s="429"/>
      <c r="Z268" s="373"/>
      <c r="AB268" s="72"/>
    </row>
    <row r="269" spans="1:34" s="40" customFormat="1" ht="16.350000000000001" customHeight="1" x14ac:dyDescent="0.3">
      <c r="B269" s="245"/>
      <c r="C269" s="360"/>
      <c r="D269" s="361"/>
      <c r="E269" s="360"/>
      <c r="F269" s="375"/>
      <c r="G269" s="375" t="s">
        <v>227</v>
      </c>
      <c r="H269" s="422">
        <f>W269</f>
        <v>0</v>
      </c>
      <c r="I269" s="381">
        <v>0</v>
      </c>
      <c r="J269" s="422">
        <f t="shared" si="63"/>
        <v>0</v>
      </c>
      <c r="K269" s="45"/>
      <c r="L269" s="668"/>
      <c r="M269" s="669"/>
      <c r="N269" s="725"/>
      <c r="O269" s="710"/>
      <c r="P269" s="725"/>
      <c r="Q269" s="706"/>
      <c r="R269" s="710"/>
      <c r="S269" s="706"/>
      <c r="T269" s="706"/>
      <c r="U269" s="706"/>
      <c r="V269" s="861"/>
      <c r="W269" s="727"/>
      <c r="X269" s="357"/>
      <c r="Z269" s="373"/>
      <c r="AB269" s="72"/>
    </row>
    <row r="270" spans="1:34" s="40" customFormat="1" ht="16.350000000000001" customHeight="1" x14ac:dyDescent="0.3">
      <c r="B270" s="245"/>
      <c r="C270" s="360"/>
      <c r="D270" s="361"/>
      <c r="E270" s="360"/>
      <c r="F270" s="419" t="s">
        <v>174</v>
      </c>
      <c r="G270" s="363"/>
      <c r="H270" s="381">
        <f>H271</f>
        <v>24000000</v>
      </c>
      <c r="I270" s="381">
        <f>I271</f>
        <v>24000000</v>
      </c>
      <c r="J270" s="381">
        <f>H270-I270</f>
        <v>0</v>
      </c>
      <c r="K270" s="432"/>
      <c r="L270" s="668"/>
      <c r="M270" s="669"/>
      <c r="N270" s="725"/>
      <c r="O270" s="710"/>
      <c r="P270" s="725"/>
      <c r="Q270" s="706"/>
      <c r="R270" s="710"/>
      <c r="S270" s="706"/>
      <c r="T270" s="706"/>
      <c r="U270" s="706"/>
      <c r="V270" s="861"/>
      <c r="W270" s="727"/>
      <c r="X270" s="433"/>
      <c r="Z270" s="373"/>
      <c r="AB270" s="72"/>
    </row>
    <row r="271" spans="1:34" s="40" customFormat="1" ht="16.350000000000001" customHeight="1" x14ac:dyDescent="0.3">
      <c r="B271" s="245"/>
      <c r="C271" s="360"/>
      <c r="D271" s="361"/>
      <c r="E271" s="360"/>
      <c r="F271" s="375"/>
      <c r="G271" s="375" t="s">
        <v>701</v>
      </c>
      <c r="H271" s="422">
        <f>W271</f>
        <v>24000000</v>
      </c>
      <c r="I271" s="381">
        <v>24000000</v>
      </c>
      <c r="J271" s="422">
        <f>H271-I271</f>
        <v>0</v>
      </c>
      <c r="K271" s="45" t="s">
        <v>125</v>
      </c>
      <c r="L271" s="668" t="s">
        <v>197</v>
      </c>
      <c r="M271" s="669"/>
      <c r="N271" s="725"/>
      <c r="O271" s="710"/>
      <c r="P271" s="725"/>
      <c r="Q271" s="706"/>
      <c r="R271" s="710"/>
      <c r="S271" s="706"/>
      <c r="T271" s="706"/>
      <c r="U271" s="706"/>
      <c r="V271" s="861"/>
      <c r="W271" s="727">
        <f>SUM(W272:W273)</f>
        <v>24000000</v>
      </c>
      <c r="X271" s="433"/>
      <c r="Z271" s="373"/>
      <c r="AB271" s="72"/>
    </row>
    <row r="272" spans="1:34" s="40" customFormat="1" ht="14.25" customHeight="1" x14ac:dyDescent="0.3">
      <c r="B272" s="245"/>
      <c r="C272" s="360"/>
      <c r="D272" s="361"/>
      <c r="E272" s="360"/>
      <c r="F272" s="360"/>
      <c r="G272" s="360"/>
      <c r="H272" s="423"/>
      <c r="I272" s="376"/>
      <c r="J272" s="221"/>
      <c r="K272" s="116" t="s">
        <v>66</v>
      </c>
      <c r="L272" s="635" t="s">
        <v>279</v>
      </c>
      <c r="M272" s="606"/>
      <c r="N272" s="606"/>
      <c r="O272" s="606"/>
      <c r="P272" s="606"/>
      <c r="Q272" s="636"/>
      <c r="R272" s="712"/>
      <c r="S272" s="708"/>
      <c r="T272" s="708"/>
      <c r="U272" s="708"/>
      <c r="V272" s="862"/>
      <c r="W272" s="726">
        <f>SUM(V273)</f>
        <v>24000000</v>
      </c>
      <c r="X272" s="358"/>
      <c r="Z272" s="373"/>
      <c r="AB272" s="72"/>
    </row>
    <row r="273" spans="1:34" s="79" customFormat="1" ht="14.25" customHeight="1" x14ac:dyDescent="0.3">
      <c r="A273" s="7"/>
      <c r="B273" s="251"/>
      <c r="C273" s="94"/>
      <c r="E273" s="94"/>
      <c r="F273" s="94"/>
      <c r="G273" s="94"/>
      <c r="H273" s="115"/>
      <c r="I273" s="115"/>
      <c r="J273" s="115"/>
      <c r="K273" s="125"/>
      <c r="L273" s="613" t="s">
        <v>391</v>
      </c>
      <c r="M273" s="615"/>
      <c r="N273" s="829"/>
      <c r="O273" s="705"/>
      <c r="P273" s="829">
        <v>2000000</v>
      </c>
      <c r="Q273" s="705" t="s">
        <v>80</v>
      </c>
      <c r="R273" s="828">
        <v>1</v>
      </c>
      <c r="S273" s="705" t="s">
        <v>80</v>
      </c>
      <c r="T273" s="736">
        <v>12</v>
      </c>
      <c r="U273" s="705" t="s">
        <v>98</v>
      </c>
      <c r="V273" s="829">
        <f>P273*R273*T273</f>
        <v>24000000</v>
      </c>
      <c r="W273" s="801"/>
      <c r="X273" s="80"/>
      <c r="Z273" s="544"/>
      <c r="AA273" s="544"/>
      <c r="AB273" s="545"/>
      <c r="AC273" s="545"/>
      <c r="AD273" s="545"/>
      <c r="AE273" s="545"/>
      <c r="AF273" s="545"/>
      <c r="AG273" s="545"/>
      <c r="AH273" s="545"/>
    </row>
    <row r="274" spans="1:34" s="40" customFormat="1" ht="16.350000000000001" customHeight="1" x14ac:dyDescent="0.3">
      <c r="B274" s="245"/>
      <c r="C274" s="74"/>
      <c r="D274" s="360"/>
      <c r="E274" s="360"/>
      <c r="F274" s="362" t="s">
        <v>634</v>
      </c>
      <c r="G274" s="363"/>
      <c r="H274" s="364">
        <f>H275</f>
        <v>2800000</v>
      </c>
      <c r="I274" s="365">
        <f>I275</f>
        <v>800000</v>
      </c>
      <c r="J274" s="434">
        <f>H274-I274</f>
        <v>2000000</v>
      </c>
      <c r="K274" s="366"/>
      <c r="L274" s="686"/>
      <c r="M274" s="631"/>
      <c r="N274" s="863"/>
      <c r="O274" s="714"/>
      <c r="P274" s="863"/>
      <c r="Q274" s="713"/>
      <c r="R274" s="714"/>
      <c r="S274" s="713"/>
      <c r="T274" s="713"/>
      <c r="U274" s="713"/>
      <c r="V274" s="864"/>
      <c r="W274" s="724"/>
      <c r="X274" s="372"/>
      <c r="Z274" s="373"/>
      <c r="AB274" s="72"/>
    </row>
    <row r="275" spans="1:34" s="40" customFormat="1" ht="16.350000000000001" customHeight="1" x14ac:dyDescent="0.3">
      <c r="B275" s="245"/>
      <c r="C275" s="74"/>
      <c r="D275" s="360"/>
      <c r="E275" s="360"/>
      <c r="F275" s="74"/>
      <c r="G275" s="375" t="s">
        <v>634</v>
      </c>
      <c r="H275" s="376">
        <f>W275</f>
        <v>2800000</v>
      </c>
      <c r="I275" s="377">
        <v>800000</v>
      </c>
      <c r="J275" s="381">
        <f>H275-I275</f>
        <v>2000000</v>
      </c>
      <c r="K275" s="121" t="s">
        <v>125</v>
      </c>
      <c r="L275" s="694" t="s">
        <v>182</v>
      </c>
      <c r="M275" s="695"/>
      <c r="N275" s="791"/>
      <c r="O275" s="935"/>
      <c r="P275" s="791"/>
      <c r="Q275" s="936"/>
      <c r="R275" s="738"/>
      <c r="S275" s="936"/>
      <c r="T275" s="739"/>
      <c r="U275" s="936"/>
      <c r="V275" s="791"/>
      <c r="W275" s="792">
        <f>SUM(W276:W277)</f>
        <v>2800000</v>
      </c>
      <c r="X275" s="378"/>
      <c r="Z275" s="373"/>
      <c r="AB275" s="72"/>
    </row>
    <row r="276" spans="1:34" s="40" customFormat="1" ht="16.350000000000001" customHeight="1" x14ac:dyDescent="0.3">
      <c r="B276" s="245"/>
      <c r="C276" s="360"/>
      <c r="D276" s="361"/>
      <c r="E276" s="360"/>
      <c r="F276" s="360"/>
      <c r="G276" s="360"/>
      <c r="H276" s="423"/>
      <c r="I276" s="376"/>
      <c r="J276" s="221"/>
      <c r="K276" s="116" t="s">
        <v>66</v>
      </c>
      <c r="L276" s="635" t="s">
        <v>279</v>
      </c>
      <c r="M276" s="606"/>
      <c r="N276" s="606"/>
      <c r="O276" s="606"/>
      <c r="P276" s="606"/>
      <c r="Q276" s="636"/>
      <c r="R276" s="712"/>
      <c r="S276" s="708"/>
      <c r="T276" s="708"/>
      <c r="U276" s="708"/>
      <c r="V276" s="862"/>
      <c r="W276" s="726">
        <f>SUM(V277:V278)</f>
        <v>2800000</v>
      </c>
      <c r="X276" s="358"/>
      <c r="Z276" s="373"/>
      <c r="AB276" s="72"/>
    </row>
    <row r="277" spans="1:34" s="79" customFormat="1" ht="16.350000000000001" customHeight="1" x14ac:dyDescent="0.3">
      <c r="A277" s="7"/>
      <c r="B277" s="251"/>
      <c r="C277" s="94"/>
      <c r="D277" s="6"/>
      <c r="E277" s="94"/>
      <c r="F277" s="94"/>
      <c r="G277" s="77"/>
      <c r="H277" s="115"/>
      <c r="I277" s="128"/>
      <c r="J277" s="115"/>
      <c r="K277" s="119"/>
      <c r="L277" s="613" t="s">
        <v>739</v>
      </c>
      <c r="M277" s="615"/>
      <c r="N277" s="829"/>
      <c r="O277" s="705"/>
      <c r="P277" s="829">
        <v>400000</v>
      </c>
      <c r="Q277" s="705" t="s">
        <v>80</v>
      </c>
      <c r="R277" s="828">
        <v>1</v>
      </c>
      <c r="S277" s="705" t="s">
        <v>80</v>
      </c>
      <c r="T277" s="736">
        <v>2</v>
      </c>
      <c r="U277" s="705" t="s">
        <v>98</v>
      </c>
      <c r="V277" s="829">
        <f>P277*R277*T277</f>
        <v>800000</v>
      </c>
      <c r="W277" s="801"/>
      <c r="X277" s="80"/>
      <c r="Z277" s="544"/>
      <c r="AA277" s="544"/>
      <c r="AB277" s="545"/>
      <c r="AC277" s="545"/>
      <c r="AD277" s="545"/>
      <c r="AE277" s="545"/>
      <c r="AF277" s="545"/>
      <c r="AG277" s="545"/>
      <c r="AH277" s="545"/>
    </row>
    <row r="278" spans="1:34" ht="16.350000000000001" customHeight="1" x14ac:dyDescent="0.3">
      <c r="A278" s="3"/>
      <c r="B278" s="251"/>
      <c r="C278" s="78"/>
      <c r="D278" s="78"/>
      <c r="E278" s="94"/>
      <c r="F278" s="94"/>
      <c r="G278" s="77"/>
      <c r="H278" s="115"/>
      <c r="I278" s="128"/>
      <c r="J278" s="115"/>
      <c r="K278" s="119"/>
      <c r="L278" s="613" t="s">
        <v>657</v>
      </c>
      <c r="M278" s="615"/>
      <c r="N278" s="829"/>
      <c r="O278" s="705"/>
      <c r="P278" s="829">
        <v>500000</v>
      </c>
      <c r="Q278" s="705" t="s">
        <v>80</v>
      </c>
      <c r="R278" s="828">
        <v>1</v>
      </c>
      <c r="S278" s="705" t="s">
        <v>80</v>
      </c>
      <c r="T278" s="736">
        <v>4</v>
      </c>
      <c r="U278" s="705" t="s">
        <v>98</v>
      </c>
      <c r="V278" s="829">
        <f>P278*R278*T278</f>
        <v>2000000</v>
      </c>
      <c r="W278" s="801"/>
      <c r="X278" s="80"/>
      <c r="Z278" s="544"/>
      <c r="AA278" s="544"/>
      <c r="AB278" s="545"/>
      <c r="AC278" s="545"/>
      <c r="AD278" s="545"/>
      <c r="AE278" s="545"/>
      <c r="AF278" s="545"/>
      <c r="AG278" s="545"/>
      <c r="AH278" s="545"/>
    </row>
    <row r="279" spans="1:34" s="40" customFormat="1" ht="16.350000000000001" customHeight="1" x14ac:dyDescent="0.3">
      <c r="B279" s="245"/>
      <c r="C279" s="74"/>
      <c r="D279" s="360"/>
      <c r="E279" s="360"/>
      <c r="F279" s="419" t="s">
        <v>706</v>
      </c>
      <c r="G279" s="363"/>
      <c r="H279" s="393">
        <f>H280</f>
        <v>15000000</v>
      </c>
      <c r="I279" s="393">
        <f>I280</f>
        <v>30000000</v>
      </c>
      <c r="J279" s="393">
        <f t="shared" ref="J279:J280" si="64">H279-I279</f>
        <v>-15000000</v>
      </c>
      <c r="K279" s="420"/>
      <c r="L279" s="686"/>
      <c r="M279" s="631"/>
      <c r="N279" s="863"/>
      <c r="O279" s="714"/>
      <c r="P279" s="863"/>
      <c r="Q279" s="713"/>
      <c r="R279" s="714"/>
      <c r="S279" s="713"/>
      <c r="T279" s="713"/>
      <c r="U279" s="713"/>
      <c r="V279" s="864"/>
      <c r="W279" s="724"/>
      <c r="X279" s="372"/>
      <c r="Z279" s="373"/>
      <c r="AB279" s="72"/>
    </row>
    <row r="280" spans="1:34" s="40" customFormat="1" ht="16.350000000000001" customHeight="1" x14ac:dyDescent="0.3">
      <c r="B280" s="245"/>
      <c r="C280" s="74"/>
      <c r="D280" s="360"/>
      <c r="E280" s="360"/>
      <c r="F280" s="375"/>
      <c r="G280" s="375" t="s">
        <v>681</v>
      </c>
      <c r="H280" s="422">
        <f>W280</f>
        <v>15000000</v>
      </c>
      <c r="I280" s="381">
        <v>30000000</v>
      </c>
      <c r="J280" s="422">
        <f t="shared" si="64"/>
        <v>-15000000</v>
      </c>
      <c r="K280" s="45" t="s">
        <v>125</v>
      </c>
      <c r="L280" s="668" t="s">
        <v>135</v>
      </c>
      <c r="M280" s="669"/>
      <c r="N280" s="725"/>
      <c r="O280" s="710"/>
      <c r="P280" s="725"/>
      <c r="Q280" s="706"/>
      <c r="R280" s="710"/>
      <c r="S280" s="706"/>
      <c r="T280" s="706"/>
      <c r="U280" s="706"/>
      <c r="V280" s="861"/>
      <c r="W280" s="727">
        <f>SUM(W281:W284)</f>
        <v>15000000</v>
      </c>
      <c r="X280" s="357"/>
      <c r="Z280" s="373"/>
      <c r="AB280" s="72"/>
    </row>
    <row r="281" spans="1:34" s="40" customFormat="1" ht="16.350000000000001" customHeight="1" x14ac:dyDescent="0.3">
      <c r="B281" s="245"/>
      <c r="C281" s="360"/>
      <c r="D281" s="361"/>
      <c r="E281" s="360"/>
      <c r="F281" s="360"/>
      <c r="G281" s="360"/>
      <c r="H281" s="423"/>
      <c r="I281" s="376"/>
      <c r="J281" s="221"/>
      <c r="K281" s="116" t="s">
        <v>115</v>
      </c>
      <c r="L281" s="635" t="s">
        <v>279</v>
      </c>
      <c r="M281" s="606"/>
      <c r="N281" s="606"/>
      <c r="O281" s="606"/>
      <c r="P281" s="606"/>
      <c r="Q281" s="636"/>
      <c r="R281" s="712"/>
      <c r="S281" s="708"/>
      <c r="T281" s="708"/>
      <c r="U281" s="708"/>
      <c r="V281" s="862"/>
      <c r="W281" s="726">
        <f>SUM(V282:V284)</f>
        <v>15000000</v>
      </c>
      <c r="X281" s="358"/>
      <c r="Z281" s="373"/>
      <c r="AB281" s="72"/>
    </row>
    <row r="282" spans="1:34" s="79" customFormat="1" ht="16.350000000000001" customHeight="1" x14ac:dyDescent="0.3">
      <c r="A282" s="7"/>
      <c r="B282" s="251"/>
      <c r="C282" s="94"/>
      <c r="E282" s="94"/>
      <c r="F282" s="94"/>
      <c r="G282" s="94"/>
      <c r="H282" s="115"/>
      <c r="I282" s="115"/>
      <c r="J282" s="115"/>
      <c r="K282" s="119"/>
      <c r="L282" s="613" t="s">
        <v>503</v>
      </c>
      <c r="M282" s="615"/>
      <c r="N282" s="829"/>
      <c r="O282" s="705"/>
      <c r="P282" s="829">
        <v>2500000</v>
      </c>
      <c r="Q282" s="705" t="s">
        <v>80</v>
      </c>
      <c r="R282" s="828">
        <v>1</v>
      </c>
      <c r="S282" s="705" t="s">
        <v>80</v>
      </c>
      <c r="T282" s="736">
        <v>2</v>
      </c>
      <c r="U282" s="705" t="s">
        <v>98</v>
      </c>
      <c r="V282" s="829">
        <f t="shared" ref="V282:V284" si="65">P282*R282*T282</f>
        <v>5000000</v>
      </c>
      <c r="W282" s="801"/>
      <c r="X282" s="80"/>
      <c r="Z282" s="544"/>
      <c r="AA282" s="544"/>
      <c r="AB282" s="545"/>
      <c r="AC282" s="545"/>
      <c r="AD282" s="545"/>
      <c r="AE282" s="545"/>
      <c r="AF282" s="545"/>
      <c r="AG282" s="545"/>
      <c r="AH282" s="545"/>
    </row>
    <row r="283" spans="1:34" s="79" customFormat="1" ht="16.350000000000001" customHeight="1" x14ac:dyDescent="0.3">
      <c r="A283" s="7"/>
      <c r="B283" s="251"/>
      <c r="C283" s="94"/>
      <c r="E283" s="94"/>
      <c r="F283" s="94"/>
      <c r="G283" s="94"/>
      <c r="H283" s="115"/>
      <c r="I283" s="115"/>
      <c r="J283" s="115"/>
      <c r="K283" s="119"/>
      <c r="L283" s="613" t="s">
        <v>790</v>
      </c>
      <c r="M283" s="615"/>
      <c r="N283" s="829"/>
      <c r="O283" s="705"/>
      <c r="P283" s="829">
        <v>2500000</v>
      </c>
      <c r="Q283" s="705" t="s">
        <v>80</v>
      </c>
      <c r="R283" s="828">
        <v>1</v>
      </c>
      <c r="S283" s="705" t="s">
        <v>80</v>
      </c>
      <c r="T283" s="736">
        <v>2</v>
      </c>
      <c r="U283" s="705" t="s">
        <v>98</v>
      </c>
      <c r="V283" s="829">
        <f t="shared" si="65"/>
        <v>5000000</v>
      </c>
      <c r="W283" s="801"/>
      <c r="X283" s="80"/>
      <c r="Z283" s="544"/>
      <c r="AA283" s="544"/>
      <c r="AB283" s="545"/>
      <c r="AC283" s="545"/>
      <c r="AD283" s="545"/>
      <c r="AE283" s="545"/>
      <c r="AF283" s="545"/>
      <c r="AG283" s="545"/>
      <c r="AH283" s="545"/>
    </row>
    <row r="284" spans="1:34" s="79" customFormat="1" ht="16.350000000000001" customHeight="1" x14ac:dyDescent="0.3">
      <c r="A284" s="7"/>
      <c r="B284" s="251"/>
      <c r="C284" s="94"/>
      <c r="E284" s="94"/>
      <c r="F284" s="94"/>
      <c r="G284" s="94"/>
      <c r="H284" s="115"/>
      <c r="I284" s="115"/>
      <c r="J284" s="115"/>
      <c r="K284" s="119"/>
      <c r="L284" s="613" t="s">
        <v>514</v>
      </c>
      <c r="M284" s="615"/>
      <c r="N284" s="829"/>
      <c r="O284" s="705"/>
      <c r="P284" s="829">
        <v>2500000</v>
      </c>
      <c r="Q284" s="705" t="s">
        <v>80</v>
      </c>
      <c r="R284" s="828">
        <v>1</v>
      </c>
      <c r="S284" s="705" t="s">
        <v>80</v>
      </c>
      <c r="T284" s="736">
        <v>2</v>
      </c>
      <c r="U284" s="705" t="s">
        <v>98</v>
      </c>
      <c r="V284" s="829">
        <f t="shared" si="65"/>
        <v>5000000</v>
      </c>
      <c r="W284" s="801"/>
      <c r="X284" s="80"/>
      <c r="Z284" s="544"/>
      <c r="AA284" s="544"/>
      <c r="AB284" s="545"/>
      <c r="AC284" s="545"/>
      <c r="AD284" s="545"/>
      <c r="AE284" s="545"/>
      <c r="AF284" s="545"/>
      <c r="AG284" s="545"/>
      <c r="AH284" s="545"/>
    </row>
    <row r="285" spans="1:34" s="550" customFormat="1" ht="16.350000000000001" customHeight="1" x14ac:dyDescent="0.3">
      <c r="B285" s="551"/>
      <c r="C285" s="552"/>
      <c r="D285" s="553"/>
      <c r="E285" s="552"/>
      <c r="F285" s="571" t="s">
        <v>192</v>
      </c>
      <c r="G285" s="572"/>
      <c r="H285" s="555">
        <f>H286</f>
        <v>0</v>
      </c>
      <c r="I285" s="555">
        <f>I286</f>
        <v>0</v>
      </c>
      <c r="J285" s="555">
        <f>H285-I285</f>
        <v>0</v>
      </c>
      <c r="K285" s="566"/>
      <c r="L285" s="556"/>
      <c r="M285" s="557"/>
      <c r="N285" s="560"/>
      <c r="O285" s="560"/>
      <c r="P285" s="560"/>
      <c r="Q285" s="559"/>
      <c r="R285" s="560"/>
      <c r="S285" s="559"/>
      <c r="T285" s="559"/>
      <c r="U285" s="558"/>
      <c r="V285" s="573"/>
      <c r="W285" s="564"/>
      <c r="X285" s="565"/>
    </row>
    <row r="286" spans="1:34" s="550" customFormat="1" ht="16.350000000000001" customHeight="1" x14ac:dyDescent="0.3">
      <c r="B286" s="551"/>
      <c r="C286" s="552"/>
      <c r="D286" s="553"/>
      <c r="E286" s="552"/>
      <c r="F286" s="571"/>
      <c r="G286" s="554" t="s">
        <v>192</v>
      </c>
      <c r="H286" s="555">
        <f>W286</f>
        <v>0</v>
      </c>
      <c r="I286" s="555">
        <v>0</v>
      </c>
      <c r="J286" s="555">
        <f>H286-I286</f>
        <v>0</v>
      </c>
      <c r="K286" s="566"/>
      <c r="L286" s="851"/>
      <c r="M286" s="852"/>
      <c r="N286" s="855"/>
      <c r="O286" s="855"/>
      <c r="P286" s="855"/>
      <c r="Q286" s="854"/>
      <c r="R286" s="855"/>
      <c r="S286" s="854"/>
      <c r="T286" s="854"/>
      <c r="U286" s="853"/>
      <c r="V286" s="938"/>
      <c r="W286" s="859"/>
      <c r="X286" s="565"/>
    </row>
    <row r="287" spans="1:34" s="40" customFormat="1" ht="16.350000000000001" customHeight="1" x14ac:dyDescent="0.3">
      <c r="B287" s="394"/>
      <c r="C287" s="74"/>
      <c r="D287" s="360"/>
      <c r="E287" s="74"/>
      <c r="F287" s="419" t="s">
        <v>671</v>
      </c>
      <c r="G287" s="436"/>
      <c r="H287" s="437">
        <f>H288</f>
        <v>0</v>
      </c>
      <c r="I287" s="393">
        <f>I288</f>
        <v>0</v>
      </c>
      <c r="J287" s="364">
        <f>H287-I287</f>
        <v>0</v>
      </c>
      <c r="K287" s="366"/>
      <c r="L287" s="686"/>
      <c r="M287" s="631"/>
      <c r="N287" s="863"/>
      <c r="O287" s="714"/>
      <c r="P287" s="863"/>
      <c r="Q287" s="713"/>
      <c r="R287" s="714"/>
      <c r="S287" s="713"/>
      <c r="T287" s="713"/>
      <c r="U287" s="713"/>
      <c r="V287" s="864"/>
      <c r="W287" s="724"/>
      <c r="X287" s="372"/>
      <c r="Z287" s="373"/>
      <c r="AB287" s="72"/>
    </row>
    <row r="288" spans="1:34" s="40" customFormat="1" ht="16.350000000000001" customHeight="1" x14ac:dyDescent="0.3">
      <c r="B288" s="394"/>
      <c r="C288" s="74"/>
      <c r="D288" s="360"/>
      <c r="E288" s="360"/>
      <c r="F288" s="360"/>
      <c r="G288" s="360" t="s">
        <v>671</v>
      </c>
      <c r="H288" s="376">
        <f>W288</f>
        <v>0</v>
      </c>
      <c r="I288" s="376">
        <v>0</v>
      </c>
      <c r="J288" s="376">
        <f>H288-I288</f>
        <v>0</v>
      </c>
      <c r="K288" s="45"/>
      <c r="L288" s="668"/>
      <c r="M288" s="669"/>
      <c r="N288" s="725"/>
      <c r="O288" s="710"/>
      <c r="P288" s="725"/>
      <c r="Q288" s="706"/>
      <c r="R288" s="710"/>
      <c r="S288" s="706"/>
      <c r="T288" s="706"/>
      <c r="U288" s="709"/>
      <c r="V288" s="860"/>
      <c r="W288" s="638"/>
      <c r="X288" s="358"/>
      <c r="Z288" s="373"/>
      <c r="AB288" s="72"/>
    </row>
    <row r="289" spans="2:28" s="40" customFormat="1" ht="16.350000000000001" customHeight="1" x14ac:dyDescent="0.3">
      <c r="B289" s="245"/>
      <c r="C289" s="438" t="s">
        <v>546</v>
      </c>
      <c r="D289" s="439"/>
      <c r="E289" s="440"/>
      <c r="F289" s="440"/>
      <c r="G289" s="441"/>
      <c r="H289" s="442">
        <f>H290</f>
        <v>0</v>
      </c>
      <c r="I289" s="442">
        <f t="shared" ref="I289:J289" si="66">I290</f>
        <v>0</v>
      </c>
      <c r="J289" s="442">
        <f t="shared" si="66"/>
        <v>0</v>
      </c>
      <c r="K289" s="432"/>
      <c r="L289" s="939"/>
      <c r="M289" s="939"/>
      <c r="N289" s="939"/>
      <c r="O289" s="939"/>
      <c r="P289" s="939"/>
      <c r="Q289" s="939"/>
      <c r="R289" s="710"/>
      <c r="S289" s="706"/>
      <c r="T289" s="706"/>
      <c r="U289" s="706"/>
      <c r="V289" s="861"/>
      <c r="W289" s="727"/>
      <c r="X289" s="357"/>
      <c r="Z289" s="373"/>
      <c r="AB289" s="72"/>
    </row>
    <row r="290" spans="2:28" s="40" customFormat="1" ht="16.350000000000001" customHeight="1" x14ac:dyDescent="0.3">
      <c r="B290" s="245"/>
      <c r="C290" s="443"/>
      <c r="D290" s="438" t="s">
        <v>542</v>
      </c>
      <c r="E290" s="440"/>
      <c r="F290" s="440"/>
      <c r="G290" s="441"/>
      <c r="H290" s="442">
        <f>H291+H295</f>
        <v>0</v>
      </c>
      <c r="I290" s="442">
        <f t="shared" ref="I290:J290" si="67">I291+I295</f>
        <v>0</v>
      </c>
      <c r="J290" s="442">
        <f t="shared" si="67"/>
        <v>0</v>
      </c>
      <c r="K290" s="432"/>
      <c r="L290" s="939"/>
      <c r="M290" s="939"/>
      <c r="N290" s="939"/>
      <c r="O290" s="939"/>
      <c r="P290" s="939"/>
      <c r="Q290" s="939"/>
      <c r="R290" s="710"/>
      <c r="S290" s="706"/>
      <c r="T290" s="706"/>
      <c r="U290" s="706"/>
      <c r="V290" s="861"/>
      <c r="W290" s="727"/>
      <c r="X290" s="357"/>
      <c r="Y290" s="392"/>
      <c r="Z290" s="373"/>
      <c r="AB290" s="72"/>
    </row>
    <row r="291" spans="2:28" s="40" customFormat="1" ht="16.350000000000001" customHeight="1" x14ac:dyDescent="0.3">
      <c r="B291" s="245"/>
      <c r="C291" s="443"/>
      <c r="D291" s="443"/>
      <c r="E291" s="444" t="s">
        <v>533</v>
      </c>
      <c r="F291" s="224"/>
      <c r="G291" s="445"/>
      <c r="H291" s="381">
        <f t="shared" ref="H291:I292" si="68">H292</f>
        <v>0</v>
      </c>
      <c r="I291" s="393">
        <f t="shared" si="68"/>
        <v>0</v>
      </c>
      <c r="J291" s="422">
        <f t="shared" ref="J291:J293" si="69">H291-I291</f>
        <v>0</v>
      </c>
      <c r="K291" s="446"/>
      <c r="L291" s="723"/>
      <c r="M291" s="723"/>
      <c r="N291" s="723"/>
      <c r="O291" s="723"/>
      <c r="P291" s="723"/>
      <c r="Q291" s="723"/>
      <c r="R291" s="729"/>
      <c r="S291" s="730"/>
      <c r="T291" s="730"/>
      <c r="U291" s="730"/>
      <c r="V291" s="731"/>
      <c r="W291" s="724"/>
      <c r="X291" s="447"/>
      <c r="Y291" s="392"/>
      <c r="Z291" s="373"/>
      <c r="AB291" s="72"/>
    </row>
    <row r="292" spans="2:28" s="40" customFormat="1" ht="16.350000000000001" customHeight="1" x14ac:dyDescent="0.3">
      <c r="B292" s="245"/>
      <c r="C292" s="443"/>
      <c r="D292" s="443"/>
      <c r="E292" s="223"/>
      <c r="F292" s="224" t="s">
        <v>616</v>
      </c>
      <c r="G292" s="445"/>
      <c r="H292" s="393">
        <f t="shared" si="68"/>
        <v>0</v>
      </c>
      <c r="I292" s="393">
        <f t="shared" si="68"/>
        <v>0</v>
      </c>
      <c r="J292" s="422">
        <f t="shared" si="69"/>
        <v>0</v>
      </c>
      <c r="K292" s="446"/>
      <c r="L292" s="723"/>
      <c r="M292" s="723"/>
      <c r="N292" s="723"/>
      <c r="O292" s="723"/>
      <c r="P292" s="723"/>
      <c r="Q292" s="723"/>
      <c r="R292" s="729"/>
      <c r="S292" s="730"/>
      <c r="T292" s="730"/>
      <c r="U292" s="730"/>
      <c r="V292" s="731"/>
      <c r="W292" s="724"/>
      <c r="X292" s="447"/>
      <c r="Y292" s="392"/>
      <c r="Z292" s="373"/>
      <c r="AB292" s="72"/>
    </row>
    <row r="293" spans="2:28" s="40" customFormat="1" ht="13.5" customHeight="1" x14ac:dyDescent="0.3">
      <c r="B293" s="245"/>
      <c r="C293" s="443"/>
      <c r="D293" s="443"/>
      <c r="E293" s="360"/>
      <c r="F293" s="360"/>
      <c r="G293" s="448" t="s">
        <v>649</v>
      </c>
      <c r="H293" s="422">
        <f>W293</f>
        <v>0</v>
      </c>
      <c r="I293" s="381">
        <v>0</v>
      </c>
      <c r="J293" s="422">
        <f t="shared" si="69"/>
        <v>0</v>
      </c>
      <c r="K293" s="44"/>
      <c r="L293" s="668"/>
      <c r="M293" s="669"/>
      <c r="N293" s="725"/>
      <c r="O293" s="710"/>
      <c r="P293" s="725"/>
      <c r="Q293" s="706"/>
      <c r="R293" s="710"/>
      <c r="S293" s="706"/>
      <c r="T293" s="706"/>
      <c r="U293" s="706"/>
      <c r="V293" s="861"/>
      <c r="W293" s="727"/>
      <c r="X293" s="357"/>
      <c r="Z293" s="373"/>
      <c r="AB293" s="72"/>
    </row>
    <row r="294" spans="2:28" s="40" customFormat="1" ht="13.5" customHeight="1" x14ac:dyDescent="0.3">
      <c r="B294" s="245"/>
      <c r="C294" s="360"/>
      <c r="D294" s="361"/>
      <c r="E294" s="360"/>
      <c r="F294" s="360"/>
      <c r="G294" s="360"/>
      <c r="H294" s="423"/>
      <c r="I294" s="376"/>
      <c r="J294" s="221"/>
      <c r="K294" s="116"/>
      <c r="L294" s="606"/>
      <c r="M294" s="606"/>
      <c r="N294" s="606"/>
      <c r="O294" s="606"/>
      <c r="P294" s="733"/>
      <c r="Q294" s="705"/>
      <c r="R294" s="828"/>
      <c r="S294" s="705"/>
      <c r="T294" s="736"/>
      <c r="U294" s="705"/>
      <c r="V294" s="733"/>
      <c r="W294" s="726"/>
      <c r="X294" s="358"/>
      <c r="Z294" s="373"/>
      <c r="AB294" s="72"/>
    </row>
    <row r="295" spans="2:28" s="550" customFormat="1" ht="13.5" customHeight="1" x14ac:dyDescent="0.3">
      <c r="B295" s="551"/>
      <c r="C295" s="574"/>
      <c r="D295" s="574"/>
      <c r="E295" s="575" t="s">
        <v>693</v>
      </c>
      <c r="F295" s="576"/>
      <c r="G295" s="577"/>
      <c r="H295" s="555">
        <f t="shared" ref="H295:J296" si="70">H296</f>
        <v>0</v>
      </c>
      <c r="I295" s="555">
        <f t="shared" si="70"/>
        <v>0</v>
      </c>
      <c r="J295" s="555">
        <f t="shared" si="70"/>
        <v>0</v>
      </c>
      <c r="K295" s="562"/>
      <c r="L295" s="940"/>
      <c r="M295" s="940"/>
      <c r="N295" s="941"/>
      <c r="O295" s="941"/>
      <c r="P295" s="941"/>
      <c r="Q295" s="941"/>
      <c r="R295" s="855"/>
      <c r="S295" s="854"/>
      <c r="T295" s="854"/>
      <c r="U295" s="853"/>
      <c r="V295" s="938"/>
      <c r="W295" s="859"/>
      <c r="X295" s="565"/>
    </row>
    <row r="296" spans="2:28" s="550" customFormat="1" ht="13.5" customHeight="1" x14ac:dyDescent="0.3">
      <c r="B296" s="551"/>
      <c r="C296" s="580"/>
      <c r="D296" s="574"/>
      <c r="E296" s="580"/>
      <c r="F296" s="581" t="s">
        <v>616</v>
      </c>
      <c r="G296" s="577"/>
      <c r="H296" s="555">
        <f t="shared" si="70"/>
        <v>0</v>
      </c>
      <c r="I296" s="555">
        <f t="shared" si="70"/>
        <v>0</v>
      </c>
      <c r="J296" s="555">
        <f t="shared" si="70"/>
        <v>0</v>
      </c>
      <c r="K296" s="562"/>
      <c r="L296" s="940"/>
      <c r="M296" s="940"/>
      <c r="N296" s="941"/>
      <c r="O296" s="941"/>
      <c r="P296" s="941"/>
      <c r="Q296" s="941"/>
      <c r="R296" s="855"/>
      <c r="S296" s="854"/>
      <c r="T296" s="854"/>
      <c r="U296" s="853"/>
      <c r="V296" s="938"/>
      <c r="W296" s="859"/>
      <c r="X296" s="565"/>
    </row>
    <row r="297" spans="2:28" s="550" customFormat="1" ht="13.5" customHeight="1" x14ac:dyDescent="0.3">
      <c r="B297" s="551"/>
      <c r="C297" s="580"/>
      <c r="D297" s="574"/>
      <c r="E297" s="580"/>
      <c r="F297" s="581"/>
      <c r="G297" s="581" t="s">
        <v>649</v>
      </c>
      <c r="H297" s="555">
        <f>W297</f>
        <v>0</v>
      </c>
      <c r="I297" s="555">
        <v>0</v>
      </c>
      <c r="J297" s="555">
        <f>H297-I297</f>
        <v>0</v>
      </c>
      <c r="K297" s="566"/>
      <c r="L297" s="851"/>
      <c r="M297" s="852"/>
      <c r="N297" s="855"/>
      <c r="O297" s="855"/>
      <c r="P297" s="855"/>
      <c r="Q297" s="854"/>
      <c r="R297" s="855"/>
      <c r="S297" s="854"/>
      <c r="T297" s="854"/>
      <c r="U297" s="853"/>
      <c r="V297" s="938"/>
      <c r="W297" s="859"/>
      <c r="X297" s="565"/>
    </row>
    <row r="298" spans="2:28" s="550" customFormat="1" ht="13.5" customHeight="1" x14ac:dyDescent="0.3">
      <c r="B298" s="551"/>
      <c r="C298" s="580"/>
      <c r="D298" s="574"/>
      <c r="E298" s="580"/>
      <c r="F298" s="574"/>
      <c r="G298" s="574"/>
      <c r="H298" s="563"/>
      <c r="I298" s="563"/>
      <c r="J298" s="563"/>
      <c r="K298" s="568"/>
      <c r="L298" s="905"/>
      <c r="M298" s="905"/>
      <c r="N298" s="933"/>
      <c r="O298" s="934"/>
      <c r="P298" s="857"/>
      <c r="Q298" s="857"/>
      <c r="R298" s="857"/>
      <c r="S298" s="942"/>
      <c r="T298" s="942"/>
      <c r="U298" s="858"/>
      <c r="V298" s="942"/>
      <c r="W298" s="932"/>
      <c r="X298" s="561"/>
    </row>
    <row r="299" spans="2:28" s="40" customFormat="1" ht="16.350000000000001" customHeight="1" x14ac:dyDescent="0.3">
      <c r="B299" s="943" t="s">
        <v>548</v>
      </c>
      <c r="C299" s="944"/>
      <c r="D299" s="945"/>
      <c r="E299" s="945"/>
      <c r="F299" s="945"/>
      <c r="G299" s="945"/>
      <c r="H299" s="946">
        <v>0</v>
      </c>
      <c r="I299" s="946">
        <v>0</v>
      </c>
      <c r="J299" s="946">
        <f>H299-I299</f>
        <v>0</v>
      </c>
      <c r="K299" s="947"/>
      <c r="L299" s="948"/>
      <c r="M299" s="948"/>
      <c r="N299" s="949"/>
      <c r="O299" s="949"/>
      <c r="P299" s="949"/>
      <c r="Q299" s="948"/>
      <c r="R299" s="949"/>
      <c r="S299" s="948"/>
      <c r="T299" s="948"/>
      <c r="U299" s="948"/>
      <c r="V299" s="950"/>
      <c r="W299" s="951"/>
      <c r="X299" s="952"/>
      <c r="Z299" s="373"/>
      <c r="AB299" s="72"/>
    </row>
    <row r="300" spans="2:28" s="40" customFormat="1" ht="16.350000000000001" customHeight="1" x14ac:dyDescent="0.3">
      <c r="B300" s="943" t="s">
        <v>549</v>
      </c>
      <c r="C300" s="944"/>
      <c r="D300" s="945"/>
      <c r="E300" s="945"/>
      <c r="F300" s="945"/>
      <c r="G300" s="945"/>
      <c r="H300" s="946">
        <f>H301+H334</f>
        <v>21340000</v>
      </c>
      <c r="I300" s="946">
        <f t="shared" ref="I300:J300" si="71">I301+I334</f>
        <v>16000000</v>
      </c>
      <c r="J300" s="946">
        <f t="shared" si="71"/>
        <v>5340000</v>
      </c>
      <c r="K300" s="947"/>
      <c r="L300" s="948"/>
      <c r="M300" s="948"/>
      <c r="N300" s="949"/>
      <c r="O300" s="949"/>
      <c r="P300" s="949"/>
      <c r="Q300" s="948"/>
      <c r="R300" s="949"/>
      <c r="S300" s="948"/>
      <c r="T300" s="948"/>
      <c r="U300" s="948"/>
      <c r="V300" s="950"/>
      <c r="W300" s="951"/>
      <c r="X300" s="952"/>
      <c r="Z300" s="373"/>
      <c r="AB300" s="72"/>
    </row>
    <row r="301" spans="2:28" s="40" customFormat="1" ht="16.350000000000001" customHeight="1" x14ac:dyDescent="0.3">
      <c r="B301" s="394"/>
      <c r="C301" s="396" t="s">
        <v>538</v>
      </c>
      <c r="D301" s="397"/>
      <c r="E301" s="398"/>
      <c r="F301" s="398"/>
      <c r="G301" s="399"/>
      <c r="H301" s="400">
        <f>H302</f>
        <v>21340000</v>
      </c>
      <c r="I301" s="400">
        <f>I302</f>
        <v>16000000</v>
      </c>
      <c r="J301" s="395">
        <f t="shared" ref="J301:J312" si="72">H301-I301</f>
        <v>5340000</v>
      </c>
      <c r="K301" s="401"/>
      <c r="L301" s="41"/>
      <c r="M301" s="41"/>
      <c r="N301" s="402"/>
      <c r="O301" s="403"/>
      <c r="P301" s="402"/>
      <c r="Q301" s="404"/>
      <c r="R301" s="403"/>
      <c r="S301" s="404"/>
      <c r="T301" s="404"/>
      <c r="U301" s="404"/>
      <c r="V301" s="405"/>
      <c r="W301" s="406"/>
      <c r="X301" s="357"/>
      <c r="Z301" s="373"/>
      <c r="AB301" s="72"/>
    </row>
    <row r="302" spans="2:28" s="40" customFormat="1" ht="16.350000000000001" customHeight="1" x14ac:dyDescent="0.3">
      <c r="B302" s="244"/>
      <c r="C302" s="407"/>
      <c r="D302" s="408" t="s">
        <v>643</v>
      </c>
      <c r="E302" s="409"/>
      <c r="F302" s="398"/>
      <c r="G302" s="399"/>
      <c r="H302" s="400">
        <f>H303</f>
        <v>21340000</v>
      </c>
      <c r="I302" s="400">
        <f t="shared" ref="I302:J302" si="73">I303</f>
        <v>16000000</v>
      </c>
      <c r="J302" s="400">
        <f t="shared" si="73"/>
        <v>5340000</v>
      </c>
      <c r="K302" s="45"/>
      <c r="L302" s="44"/>
      <c r="M302" s="44"/>
      <c r="N302" s="410"/>
      <c r="O302" s="411"/>
      <c r="P302" s="410"/>
      <c r="Q302" s="412"/>
      <c r="R302" s="411"/>
      <c r="S302" s="412"/>
      <c r="T302" s="412"/>
      <c r="U302" s="412"/>
      <c r="V302" s="413"/>
      <c r="W302" s="414"/>
      <c r="X302" s="415"/>
      <c r="Z302" s="373"/>
      <c r="AB302" s="72"/>
    </row>
    <row r="303" spans="2:28" s="40" customFormat="1" ht="16.350000000000001" customHeight="1" x14ac:dyDescent="0.3">
      <c r="B303" s="244"/>
      <c r="C303" s="220"/>
      <c r="D303" s="416"/>
      <c r="E303" s="417" t="s">
        <v>628</v>
      </c>
      <c r="F303" s="397"/>
      <c r="G303" s="399"/>
      <c r="H303" s="400">
        <f>H304+H316+H319+H324+H330+H332</f>
        <v>21340000</v>
      </c>
      <c r="I303" s="400">
        <f t="shared" ref="I303:J303" si="74">I304+I316+I319+I324+I330+I332</f>
        <v>16000000</v>
      </c>
      <c r="J303" s="400">
        <f t="shared" si="74"/>
        <v>5340000</v>
      </c>
      <c r="K303" s="45"/>
      <c r="L303" s="418"/>
      <c r="M303" s="44"/>
      <c r="N303" s="410"/>
      <c r="O303" s="411"/>
      <c r="P303" s="410"/>
      <c r="Q303" s="412"/>
      <c r="R303" s="411"/>
      <c r="S303" s="412"/>
      <c r="T303" s="412"/>
      <c r="U303" s="412"/>
      <c r="V303" s="413"/>
      <c r="W303" s="414"/>
      <c r="X303" s="415"/>
      <c r="Z303" s="373"/>
      <c r="AB303" s="72"/>
    </row>
    <row r="304" spans="2:28" s="40" customFormat="1" ht="16.350000000000001" customHeight="1" x14ac:dyDescent="0.3">
      <c r="B304" s="245"/>
      <c r="C304" s="360"/>
      <c r="D304" s="361"/>
      <c r="E304" s="360"/>
      <c r="F304" s="419" t="s">
        <v>551</v>
      </c>
      <c r="G304" s="363"/>
      <c r="H304" s="393">
        <f>H305+H309+H312</f>
        <v>6500000</v>
      </c>
      <c r="I304" s="393">
        <f t="shared" ref="I304:J304" si="75">I305+I309+I312</f>
        <v>6500000</v>
      </c>
      <c r="J304" s="393">
        <f t="shared" si="75"/>
        <v>0</v>
      </c>
      <c r="K304" s="420"/>
      <c r="L304" s="73"/>
      <c r="M304" s="46"/>
      <c r="N304" s="367"/>
      <c r="O304" s="368"/>
      <c r="P304" s="367"/>
      <c r="Q304" s="369"/>
      <c r="R304" s="368"/>
      <c r="S304" s="369"/>
      <c r="T304" s="369"/>
      <c r="U304" s="369"/>
      <c r="V304" s="370"/>
      <c r="W304" s="371"/>
      <c r="X304" s="372"/>
      <c r="Z304" s="373"/>
      <c r="AB304" s="72"/>
    </row>
    <row r="305" spans="1:34" s="79" customFormat="1" ht="16.350000000000001" customHeight="1" x14ac:dyDescent="0.3">
      <c r="B305" s="251"/>
      <c r="C305" s="94"/>
      <c r="D305" s="94"/>
      <c r="E305" s="94"/>
      <c r="F305" s="107"/>
      <c r="G305" s="107" t="s">
        <v>650</v>
      </c>
      <c r="H305" s="108">
        <f>W305</f>
        <v>2000000</v>
      </c>
      <c r="I305" s="108">
        <v>2000000</v>
      </c>
      <c r="J305" s="108">
        <f t="shared" si="72"/>
        <v>0</v>
      </c>
      <c r="K305" s="109" t="s">
        <v>125</v>
      </c>
      <c r="L305" s="694" t="s">
        <v>180</v>
      </c>
      <c r="M305" s="695"/>
      <c r="N305" s="791"/>
      <c r="O305" s="953"/>
      <c r="P305" s="791"/>
      <c r="Q305" s="954"/>
      <c r="R305" s="738"/>
      <c r="S305" s="936"/>
      <c r="T305" s="739"/>
      <c r="U305" s="936"/>
      <c r="V305" s="791"/>
      <c r="W305" s="801">
        <f>SUM(W306:W308)</f>
        <v>2000000</v>
      </c>
      <c r="X305" s="222"/>
      <c r="Z305" s="450"/>
    </row>
    <row r="306" spans="1:34" s="40" customFormat="1" ht="16.350000000000001" customHeight="1" x14ac:dyDescent="0.3">
      <c r="B306" s="245"/>
      <c r="C306" s="360"/>
      <c r="D306" s="361"/>
      <c r="E306" s="360"/>
      <c r="F306" s="360"/>
      <c r="G306" s="360"/>
      <c r="H306" s="423"/>
      <c r="I306" s="376"/>
      <c r="J306" s="221"/>
      <c r="K306" s="629" t="s">
        <v>66</v>
      </c>
      <c r="L306" s="635" t="s">
        <v>279</v>
      </c>
      <c r="M306" s="606"/>
      <c r="N306" s="606"/>
      <c r="O306" s="606"/>
      <c r="P306" s="606"/>
      <c r="Q306" s="636"/>
      <c r="R306" s="712"/>
      <c r="S306" s="708"/>
      <c r="T306" s="708"/>
      <c r="U306" s="708"/>
      <c r="V306" s="862"/>
      <c r="W306" s="726">
        <f>SUM(V307:V308)</f>
        <v>2000000</v>
      </c>
      <c r="X306" s="358"/>
      <c r="Z306" s="373"/>
      <c r="AB306" s="72"/>
    </row>
    <row r="307" spans="1:34" s="79" customFormat="1" ht="16.350000000000001" customHeight="1" x14ac:dyDescent="0.3">
      <c r="A307" s="7"/>
      <c r="B307" s="251"/>
      <c r="C307" s="94"/>
      <c r="E307" s="94"/>
      <c r="F307" s="94"/>
      <c r="G307" s="94"/>
      <c r="H307" s="115"/>
      <c r="I307" s="128"/>
      <c r="J307" s="115"/>
      <c r="K307" s="119"/>
      <c r="L307" s="613" t="s">
        <v>515</v>
      </c>
      <c r="M307" s="613"/>
      <c r="N307" s="732"/>
      <c r="O307" s="827"/>
      <c r="P307" s="829">
        <v>200000</v>
      </c>
      <c r="Q307" s="705" t="s">
        <v>80</v>
      </c>
      <c r="R307" s="828">
        <v>1</v>
      </c>
      <c r="S307" s="705" t="s">
        <v>80</v>
      </c>
      <c r="T307" s="736">
        <v>5</v>
      </c>
      <c r="U307" s="705" t="s">
        <v>98</v>
      </c>
      <c r="V307" s="829">
        <f>P307*R307*T307</f>
        <v>1000000</v>
      </c>
      <c r="W307" s="735"/>
      <c r="X307" s="80"/>
      <c r="Z307" s="544"/>
      <c r="AA307" s="544"/>
      <c r="AB307" s="545"/>
      <c r="AC307" s="545"/>
      <c r="AD307" s="545"/>
      <c r="AE307" s="545"/>
      <c r="AF307" s="545"/>
      <c r="AG307" s="545"/>
      <c r="AH307" s="545"/>
    </row>
    <row r="308" spans="1:34" s="79" customFormat="1" ht="16.350000000000001" customHeight="1" x14ac:dyDescent="0.3">
      <c r="A308" s="7"/>
      <c r="B308" s="251"/>
      <c r="C308" s="94"/>
      <c r="E308" s="94"/>
      <c r="F308" s="94"/>
      <c r="G308" s="94"/>
      <c r="H308" s="115"/>
      <c r="I308" s="115"/>
      <c r="J308" s="115"/>
      <c r="K308" s="119"/>
      <c r="L308" s="613" t="s">
        <v>385</v>
      </c>
      <c r="M308" s="615"/>
      <c r="N308" s="829"/>
      <c r="O308" s="705"/>
      <c r="P308" s="829">
        <v>500000</v>
      </c>
      <c r="Q308" s="705" t="s">
        <v>80</v>
      </c>
      <c r="R308" s="828">
        <v>1</v>
      </c>
      <c r="S308" s="705" t="s">
        <v>80</v>
      </c>
      <c r="T308" s="736">
        <v>2</v>
      </c>
      <c r="U308" s="705" t="s">
        <v>98</v>
      </c>
      <c r="V308" s="829">
        <f>P308*R308*T308</f>
        <v>1000000</v>
      </c>
      <c r="W308" s="735"/>
      <c r="X308" s="80"/>
      <c r="Z308" s="544"/>
      <c r="AA308" s="544"/>
      <c r="AB308" s="545"/>
      <c r="AC308" s="545"/>
      <c r="AD308" s="545"/>
      <c r="AE308" s="545"/>
      <c r="AF308" s="545"/>
      <c r="AG308" s="545"/>
      <c r="AH308" s="545"/>
    </row>
    <row r="309" spans="1:34" s="79" customFormat="1" ht="16.350000000000001" customHeight="1" x14ac:dyDescent="0.3">
      <c r="A309" s="7"/>
      <c r="B309" s="251"/>
      <c r="C309" s="94"/>
      <c r="E309" s="94"/>
      <c r="F309" s="94"/>
      <c r="G309" s="107" t="s">
        <v>534</v>
      </c>
      <c r="H309" s="108">
        <f>W309</f>
        <v>2500000</v>
      </c>
      <c r="I309" s="1743">
        <v>2500000</v>
      </c>
      <c r="J309" s="108">
        <f>H309-I309</f>
        <v>0</v>
      </c>
      <c r="K309" s="121" t="s">
        <v>125</v>
      </c>
      <c r="L309" s="694" t="s">
        <v>205</v>
      </c>
      <c r="M309" s="695"/>
      <c r="N309" s="737"/>
      <c r="O309" s="738"/>
      <c r="P309" s="737"/>
      <c r="Q309" s="739"/>
      <c r="R309" s="738"/>
      <c r="S309" s="739"/>
      <c r="T309" s="739"/>
      <c r="U309" s="739"/>
      <c r="V309" s="791"/>
      <c r="W309" s="792">
        <f>SUM(W310:W311)</f>
        <v>2500000</v>
      </c>
      <c r="X309" s="118"/>
      <c r="Z309" s="544"/>
      <c r="AA309" s="544"/>
      <c r="AB309" s="545"/>
      <c r="AC309" s="545"/>
      <c r="AD309" s="545"/>
      <c r="AE309" s="545"/>
      <c r="AF309" s="545"/>
      <c r="AG309" s="545"/>
      <c r="AH309" s="545"/>
    </row>
    <row r="310" spans="1:34" s="40" customFormat="1" ht="16.350000000000001" customHeight="1" x14ac:dyDescent="0.3">
      <c r="B310" s="245"/>
      <c r="C310" s="360"/>
      <c r="D310" s="361"/>
      <c r="E310" s="360"/>
      <c r="F310" s="360"/>
      <c r="G310" s="360"/>
      <c r="H310" s="423"/>
      <c r="I310" s="376"/>
      <c r="J310" s="221"/>
      <c r="K310" s="629" t="s">
        <v>66</v>
      </c>
      <c r="L310" s="635" t="s">
        <v>279</v>
      </c>
      <c r="M310" s="606"/>
      <c r="N310" s="606"/>
      <c r="O310" s="606"/>
      <c r="P310" s="606"/>
      <c r="Q310" s="636"/>
      <c r="R310" s="712"/>
      <c r="S310" s="708"/>
      <c r="T310" s="708"/>
      <c r="U310" s="708"/>
      <c r="V310" s="748"/>
      <c r="W310" s="726">
        <f>SUM(V311)</f>
        <v>2500000</v>
      </c>
      <c r="X310" s="358"/>
      <c r="Z310" s="373"/>
      <c r="AB310" s="72"/>
    </row>
    <row r="311" spans="1:34" s="79" customFormat="1" ht="16.350000000000001" customHeight="1" x14ac:dyDescent="0.3">
      <c r="A311" s="7"/>
      <c r="B311" s="251"/>
      <c r="C311" s="94"/>
      <c r="E311" s="94"/>
      <c r="F311" s="94"/>
      <c r="G311" s="77"/>
      <c r="H311" s="115"/>
      <c r="I311" s="128"/>
      <c r="J311" s="115"/>
      <c r="K311" s="119"/>
      <c r="L311" s="613" t="s">
        <v>531</v>
      </c>
      <c r="M311" s="615"/>
      <c r="N311" s="829"/>
      <c r="O311" s="705"/>
      <c r="P311" s="829">
        <v>2500000</v>
      </c>
      <c r="Q311" s="705" t="s">
        <v>80</v>
      </c>
      <c r="R311" s="828">
        <v>1</v>
      </c>
      <c r="S311" s="705" t="s">
        <v>80</v>
      </c>
      <c r="T311" s="736">
        <v>1</v>
      </c>
      <c r="U311" s="705" t="s">
        <v>98</v>
      </c>
      <c r="V311" s="955">
        <f>P311*R311*T311</f>
        <v>2500000</v>
      </c>
      <c r="W311" s="867"/>
      <c r="X311" s="80"/>
      <c r="Z311" s="595"/>
      <c r="AA311" s="544"/>
      <c r="AB311" s="545"/>
      <c r="AC311" s="545"/>
      <c r="AD311" s="545"/>
      <c r="AE311" s="545"/>
      <c r="AF311" s="545"/>
      <c r="AG311" s="545"/>
      <c r="AH311" s="545"/>
    </row>
    <row r="312" spans="1:34" s="40" customFormat="1" ht="16.350000000000001" customHeight="1" x14ac:dyDescent="0.3">
      <c r="B312" s="424"/>
      <c r="C312" s="196"/>
      <c r="D312" s="61"/>
      <c r="E312" s="196"/>
      <c r="F312" s="360"/>
      <c r="G312" s="375" t="s">
        <v>213</v>
      </c>
      <c r="H312" s="422">
        <f>W312</f>
        <v>2000000</v>
      </c>
      <c r="I312" s="425">
        <v>2000000</v>
      </c>
      <c r="J312" s="422">
        <f t="shared" si="72"/>
        <v>0</v>
      </c>
      <c r="K312" s="45" t="s">
        <v>125</v>
      </c>
      <c r="L312" s="668" t="s">
        <v>133</v>
      </c>
      <c r="M312" s="959"/>
      <c r="N312" s="960"/>
      <c r="O312" s="961"/>
      <c r="P312" s="961"/>
      <c r="Q312" s="962"/>
      <c r="R312" s="963"/>
      <c r="S312" s="962"/>
      <c r="T312" s="964"/>
      <c r="U312" s="962"/>
      <c r="V312" s="965"/>
      <c r="W312" s="966">
        <f>SUM(W313:W315)</f>
        <v>2000000</v>
      </c>
      <c r="X312" s="433"/>
      <c r="Z312" s="373"/>
      <c r="AB312" s="72"/>
    </row>
    <row r="313" spans="1:34" s="40" customFormat="1" ht="16.350000000000001" customHeight="1" x14ac:dyDescent="0.3">
      <c r="B313" s="245"/>
      <c r="C313" s="360"/>
      <c r="D313" s="361"/>
      <c r="E313" s="360"/>
      <c r="F313" s="360"/>
      <c r="G313" s="360"/>
      <c r="H313" s="423"/>
      <c r="I313" s="376"/>
      <c r="J313" s="221"/>
      <c r="K313" s="629" t="s">
        <v>66</v>
      </c>
      <c r="L313" s="635" t="s">
        <v>279</v>
      </c>
      <c r="M313" s="606"/>
      <c r="N313" s="606"/>
      <c r="O313" s="606"/>
      <c r="P313" s="606"/>
      <c r="Q313" s="636"/>
      <c r="R313" s="712"/>
      <c r="S313" s="708"/>
      <c r="T313" s="708"/>
      <c r="U313" s="708"/>
      <c r="V313" s="862"/>
      <c r="W313" s="726">
        <f>SUM(V314:V315)</f>
        <v>2000000</v>
      </c>
      <c r="X313" s="358"/>
      <c r="Z313" s="373"/>
      <c r="AB313" s="72"/>
    </row>
    <row r="314" spans="1:34" s="79" customFormat="1" ht="16.350000000000001" customHeight="1" x14ac:dyDescent="0.3">
      <c r="A314" s="7"/>
      <c r="B314" s="251"/>
      <c r="C314" s="94"/>
      <c r="E314" s="94"/>
      <c r="F314" s="94"/>
      <c r="G314" s="77"/>
      <c r="H314" s="115"/>
      <c r="I314" s="115"/>
      <c r="J314" s="115"/>
      <c r="K314" s="119"/>
      <c r="L314" s="613" t="s">
        <v>507</v>
      </c>
      <c r="M314" s="615"/>
      <c r="N314" s="829"/>
      <c r="O314" s="705"/>
      <c r="P314" s="829">
        <v>25000</v>
      </c>
      <c r="Q314" s="705" t="s">
        <v>80</v>
      </c>
      <c r="R314" s="828">
        <v>20</v>
      </c>
      <c r="S314" s="705" t="s">
        <v>80</v>
      </c>
      <c r="T314" s="736">
        <v>2</v>
      </c>
      <c r="U314" s="705" t="s">
        <v>98</v>
      </c>
      <c r="V314" s="829">
        <f>P314*R314*T314</f>
        <v>1000000</v>
      </c>
      <c r="W314" s="735"/>
      <c r="X314" s="80"/>
      <c r="Z314" s="544"/>
      <c r="AA314" s="544"/>
      <c r="AB314" s="545"/>
      <c r="AC314" s="545"/>
      <c r="AD314" s="545"/>
      <c r="AE314" s="545"/>
      <c r="AF314" s="545"/>
      <c r="AG314" s="545"/>
      <c r="AH314" s="545"/>
    </row>
    <row r="315" spans="1:34" s="79" customFormat="1" ht="16.350000000000001" customHeight="1" x14ac:dyDescent="0.3">
      <c r="A315" s="7"/>
      <c r="B315" s="251"/>
      <c r="C315" s="94"/>
      <c r="E315" s="94"/>
      <c r="F315" s="94"/>
      <c r="G315" s="77"/>
      <c r="H315" s="115"/>
      <c r="I315" s="115"/>
      <c r="J315" s="115"/>
      <c r="K315" s="116"/>
      <c r="L315" s="613" t="s">
        <v>510</v>
      </c>
      <c r="M315" s="615"/>
      <c r="N315" s="829"/>
      <c r="O315" s="705"/>
      <c r="P315" s="829">
        <v>25000</v>
      </c>
      <c r="Q315" s="705" t="s">
        <v>80</v>
      </c>
      <c r="R315" s="828">
        <v>20</v>
      </c>
      <c r="S315" s="705" t="s">
        <v>80</v>
      </c>
      <c r="T315" s="736">
        <v>2</v>
      </c>
      <c r="U315" s="705" t="s">
        <v>98</v>
      </c>
      <c r="V315" s="829">
        <f>P315*R315*T315</f>
        <v>1000000</v>
      </c>
      <c r="W315" s="735"/>
      <c r="X315" s="1627"/>
      <c r="Z315" s="544"/>
      <c r="AA315" s="544"/>
      <c r="AB315" s="545"/>
      <c r="AC315" s="545"/>
      <c r="AD315" s="545"/>
      <c r="AE315" s="545"/>
      <c r="AF315" s="545"/>
      <c r="AG315" s="545"/>
      <c r="AH315" s="545"/>
    </row>
    <row r="316" spans="1:34" s="40" customFormat="1" ht="16.350000000000001" customHeight="1" x14ac:dyDescent="0.3">
      <c r="B316" s="245"/>
      <c r="C316" s="360"/>
      <c r="D316" s="361"/>
      <c r="E316" s="360"/>
      <c r="F316" s="419" t="s">
        <v>233</v>
      </c>
      <c r="G316" s="363"/>
      <c r="H316" s="393">
        <f>H317</f>
        <v>3840000</v>
      </c>
      <c r="I316" s="393">
        <f>I317</f>
        <v>0</v>
      </c>
      <c r="J316" s="393">
        <f t="shared" ref="J316:J317" si="76">H316-I316</f>
        <v>3840000</v>
      </c>
      <c r="K316" s="366"/>
      <c r="L316" s="686"/>
      <c r="M316" s="631"/>
      <c r="N316" s="863"/>
      <c r="O316" s="714"/>
      <c r="P316" s="863"/>
      <c r="Q316" s="713"/>
      <c r="R316" s="714"/>
      <c r="S316" s="713"/>
      <c r="T316" s="713"/>
      <c r="U316" s="713"/>
      <c r="V316" s="864"/>
      <c r="W316" s="724"/>
      <c r="X316" s="456"/>
      <c r="Z316" s="373"/>
      <c r="AB316" s="72"/>
    </row>
    <row r="317" spans="1:34" s="40" customFormat="1" ht="16.350000000000001" customHeight="1" x14ac:dyDescent="0.3">
      <c r="B317" s="245"/>
      <c r="C317" s="360"/>
      <c r="D317" s="361"/>
      <c r="E317" s="360"/>
      <c r="F317" s="375"/>
      <c r="G317" s="375" t="s">
        <v>227</v>
      </c>
      <c r="H317" s="422">
        <f>W317</f>
        <v>3840000</v>
      </c>
      <c r="I317" s="381">
        <v>0</v>
      </c>
      <c r="J317" s="422">
        <f t="shared" si="76"/>
        <v>3840000</v>
      </c>
      <c r="K317" s="45" t="s">
        <v>125</v>
      </c>
      <c r="L317" s="668" t="s">
        <v>202</v>
      </c>
      <c r="M317" s="669"/>
      <c r="N317" s="725"/>
      <c r="O317" s="710"/>
      <c r="P317" s="725"/>
      <c r="Q317" s="706"/>
      <c r="R317" s="710"/>
      <c r="S317" s="706"/>
      <c r="T317" s="706"/>
      <c r="U317" s="706"/>
      <c r="V317" s="861"/>
      <c r="W317" s="727">
        <f>SUM(V318:V318)</f>
        <v>3840000</v>
      </c>
      <c r="X317" s="357"/>
      <c r="Z317" s="373"/>
      <c r="AB317" s="72"/>
    </row>
    <row r="318" spans="1:34" s="40" customFormat="1" ht="16.350000000000001" customHeight="1" x14ac:dyDescent="0.3">
      <c r="B318" s="389"/>
      <c r="C318" s="430"/>
      <c r="D318" s="390"/>
      <c r="E318" s="391"/>
      <c r="F318" s="390"/>
      <c r="G318" s="390"/>
      <c r="H318" s="387"/>
      <c r="I318" s="387"/>
      <c r="J318" s="388"/>
      <c r="K318" s="356"/>
      <c r="L318" s="627" t="s">
        <v>780</v>
      </c>
      <c r="M318" s="627"/>
      <c r="N318" s="899"/>
      <c r="O318" s="627"/>
      <c r="P318" s="920">
        <v>80000</v>
      </c>
      <c r="Q318" s="921" t="s">
        <v>80</v>
      </c>
      <c r="R318" s="930">
        <v>4</v>
      </c>
      <c r="S318" s="921" t="s">
        <v>80</v>
      </c>
      <c r="T318" s="931">
        <v>12</v>
      </c>
      <c r="U318" s="921" t="s">
        <v>98</v>
      </c>
      <c r="V318" s="922">
        <f>P318*R318*T318</f>
        <v>3840000</v>
      </c>
      <c r="W318" s="728"/>
      <c r="X318" s="1745"/>
      <c r="Y318" s="431"/>
      <c r="Z318" s="373"/>
      <c r="AB318" s="72"/>
    </row>
    <row r="319" spans="1:34" s="40" customFormat="1" ht="16.350000000000001" customHeight="1" x14ac:dyDescent="0.3">
      <c r="B319" s="478"/>
      <c r="C319" s="476"/>
      <c r="D319" s="469"/>
      <c r="E319" s="476"/>
      <c r="F319" s="491" t="s">
        <v>634</v>
      </c>
      <c r="G319" s="471"/>
      <c r="H319" s="495">
        <f>H320</f>
        <v>4000000</v>
      </c>
      <c r="I319" s="495">
        <f>I320</f>
        <v>2500000</v>
      </c>
      <c r="J319" s="495">
        <f>H319-I319</f>
        <v>1500000</v>
      </c>
      <c r="K319" s="514"/>
      <c r="L319" s="480"/>
      <c r="M319" s="481"/>
      <c r="N319" s="482"/>
      <c r="O319" s="483"/>
      <c r="P319" s="482"/>
      <c r="Q319" s="484"/>
      <c r="R319" s="483"/>
      <c r="S319" s="484"/>
      <c r="T319" s="484"/>
      <c r="U319" s="484"/>
      <c r="V319" s="485"/>
      <c r="W319" s="470"/>
      <c r="X319" s="456"/>
      <c r="AB319" s="72"/>
    </row>
    <row r="320" spans="1:34" s="40" customFormat="1" ht="16.350000000000001" customHeight="1" x14ac:dyDescent="0.3">
      <c r="B320" s="478"/>
      <c r="C320" s="476"/>
      <c r="D320" s="469"/>
      <c r="E320" s="476"/>
      <c r="F320" s="468"/>
      <c r="G320" s="473" t="s">
        <v>634</v>
      </c>
      <c r="H320" s="477">
        <f>W320</f>
        <v>4000000</v>
      </c>
      <c r="I320" s="493">
        <v>2500000</v>
      </c>
      <c r="J320" s="493">
        <f>H320-I320</f>
        <v>1500000</v>
      </c>
      <c r="K320" s="458" t="s">
        <v>125</v>
      </c>
      <c r="L320" s="624" t="s">
        <v>182</v>
      </c>
      <c r="M320" s="677"/>
      <c r="N320" s="967"/>
      <c r="O320" s="745"/>
      <c r="P320" s="967"/>
      <c r="Q320" s="746"/>
      <c r="R320" s="745"/>
      <c r="S320" s="746"/>
      <c r="T320" s="746"/>
      <c r="U320" s="746"/>
      <c r="V320" s="747"/>
      <c r="W320" s="749">
        <f>W321</f>
        <v>4000000</v>
      </c>
      <c r="X320" s="378"/>
      <c r="AB320" s="72"/>
    </row>
    <row r="321" spans="1:34" s="40" customFormat="1" ht="16.350000000000001" customHeight="1" x14ac:dyDescent="0.3">
      <c r="B321" s="245"/>
      <c r="C321" s="360"/>
      <c r="D321" s="361"/>
      <c r="E321" s="360"/>
      <c r="F321" s="360"/>
      <c r="G321" s="360"/>
      <c r="H321" s="423"/>
      <c r="I321" s="376"/>
      <c r="J321" s="221"/>
      <c r="K321" s="629" t="s">
        <v>66</v>
      </c>
      <c r="L321" s="635" t="s">
        <v>279</v>
      </c>
      <c r="M321" s="606"/>
      <c r="N321" s="606"/>
      <c r="O321" s="606"/>
      <c r="P321" s="606"/>
      <c r="Q321" s="636"/>
      <c r="R321" s="712"/>
      <c r="S321" s="708"/>
      <c r="T321" s="708"/>
      <c r="U321" s="708"/>
      <c r="V321" s="862"/>
      <c r="W321" s="726">
        <f>SUM(V322:V323)</f>
        <v>4000000</v>
      </c>
      <c r="X321" s="358"/>
      <c r="Z321" s="373"/>
      <c r="AB321" s="72"/>
    </row>
    <row r="322" spans="1:34" s="79" customFormat="1" ht="16.350000000000001" customHeight="1" x14ac:dyDescent="0.3">
      <c r="A322" s="7"/>
      <c r="B322" s="251"/>
      <c r="C322" s="94"/>
      <c r="E322" s="94"/>
      <c r="F322" s="94"/>
      <c r="G322" s="77"/>
      <c r="H322" s="115"/>
      <c r="I322" s="128"/>
      <c r="J322" s="115"/>
      <c r="K322" s="119"/>
      <c r="L322" s="613" t="s">
        <v>511</v>
      </c>
      <c r="M322" s="615"/>
      <c r="N322" s="829"/>
      <c r="O322" s="705"/>
      <c r="P322" s="829">
        <v>500000</v>
      </c>
      <c r="Q322" s="705" t="s">
        <v>80</v>
      </c>
      <c r="R322" s="828">
        <v>1</v>
      </c>
      <c r="S322" s="705" t="s">
        <v>80</v>
      </c>
      <c r="T322" s="736">
        <v>2</v>
      </c>
      <c r="U322" s="705" t="s">
        <v>98</v>
      </c>
      <c r="V322" s="829">
        <f t="shared" ref="V322:V323" si="77">P322*R322*T322</f>
        <v>1000000</v>
      </c>
      <c r="W322" s="735"/>
      <c r="X322" s="80"/>
      <c r="Z322" s="544"/>
      <c r="AA322" s="544"/>
      <c r="AB322" s="545"/>
      <c r="AC322" s="545"/>
      <c r="AD322" s="545"/>
      <c r="AE322" s="545"/>
      <c r="AF322" s="545"/>
      <c r="AG322" s="545"/>
      <c r="AH322" s="545"/>
    </row>
    <row r="323" spans="1:34" s="79" customFormat="1" ht="16.350000000000001" customHeight="1" x14ac:dyDescent="0.3">
      <c r="A323" s="7"/>
      <c r="B323" s="251"/>
      <c r="C323" s="94"/>
      <c r="E323" s="94"/>
      <c r="F323" s="94"/>
      <c r="G323" s="77"/>
      <c r="H323" s="115"/>
      <c r="I323" s="128"/>
      <c r="J323" s="115"/>
      <c r="K323" s="119"/>
      <c r="L323" s="613" t="s">
        <v>505</v>
      </c>
      <c r="M323" s="615"/>
      <c r="N323" s="829"/>
      <c r="O323" s="705"/>
      <c r="P323" s="829">
        <v>500000</v>
      </c>
      <c r="Q323" s="705" t="s">
        <v>80</v>
      </c>
      <c r="R323" s="828">
        <v>3</v>
      </c>
      <c r="S323" s="705" t="s">
        <v>80</v>
      </c>
      <c r="T323" s="736">
        <v>2</v>
      </c>
      <c r="U323" s="705" t="s">
        <v>98</v>
      </c>
      <c r="V323" s="829">
        <f t="shared" si="77"/>
        <v>3000000</v>
      </c>
      <c r="W323" s="735"/>
      <c r="X323" s="80"/>
      <c r="Z323" s="544"/>
      <c r="AA323" s="544"/>
      <c r="AB323" s="545"/>
      <c r="AC323" s="545"/>
      <c r="AD323" s="545"/>
      <c r="AE323" s="545"/>
      <c r="AF323" s="545"/>
      <c r="AG323" s="545"/>
      <c r="AH323" s="545"/>
    </row>
    <row r="324" spans="1:34" s="40" customFormat="1" ht="16.350000000000001" customHeight="1" x14ac:dyDescent="0.3">
      <c r="B324" s="245"/>
      <c r="C324" s="360"/>
      <c r="D324" s="361"/>
      <c r="E324" s="360"/>
      <c r="F324" s="419" t="s">
        <v>706</v>
      </c>
      <c r="G324" s="363"/>
      <c r="H324" s="393">
        <f>H325</f>
        <v>7000000</v>
      </c>
      <c r="I324" s="393">
        <f>I325</f>
        <v>7000000</v>
      </c>
      <c r="J324" s="393">
        <f>H324-I324</f>
        <v>0</v>
      </c>
      <c r="K324" s="420"/>
      <c r="L324" s="686"/>
      <c r="M324" s="631"/>
      <c r="N324" s="863"/>
      <c r="O324" s="714"/>
      <c r="P324" s="863"/>
      <c r="Q324" s="713"/>
      <c r="R324" s="714"/>
      <c r="S324" s="713"/>
      <c r="T324" s="713"/>
      <c r="U324" s="713"/>
      <c r="V324" s="864"/>
      <c r="W324" s="724"/>
      <c r="X324" s="372"/>
      <c r="Z324" s="373"/>
      <c r="AB324" s="72"/>
    </row>
    <row r="325" spans="1:34" s="40" customFormat="1" ht="16.350000000000001" customHeight="1" x14ac:dyDescent="0.3">
      <c r="B325" s="245"/>
      <c r="C325" s="360"/>
      <c r="D325" s="361"/>
      <c r="E325" s="360"/>
      <c r="F325" s="375"/>
      <c r="G325" s="375" t="s">
        <v>681</v>
      </c>
      <c r="H325" s="422">
        <f>W325</f>
        <v>7000000</v>
      </c>
      <c r="I325" s="381">
        <v>7000000</v>
      </c>
      <c r="J325" s="422">
        <f>H325-I325</f>
        <v>0</v>
      </c>
      <c r="K325" s="45" t="s">
        <v>125</v>
      </c>
      <c r="L325" s="668" t="s">
        <v>135</v>
      </c>
      <c r="M325" s="669"/>
      <c r="N325" s="725"/>
      <c r="O325" s="710"/>
      <c r="P325" s="725"/>
      <c r="Q325" s="706"/>
      <c r="R325" s="710"/>
      <c r="S325" s="706"/>
      <c r="T325" s="706"/>
      <c r="U325" s="706"/>
      <c r="V325" s="861"/>
      <c r="W325" s="727">
        <f>SUM(W326:W329)</f>
        <v>7000000</v>
      </c>
      <c r="X325" s="357"/>
      <c r="Z325" s="373"/>
      <c r="AB325" s="72"/>
    </row>
    <row r="326" spans="1:34" s="40" customFormat="1" ht="16.350000000000001" customHeight="1" x14ac:dyDescent="0.3">
      <c r="B326" s="245"/>
      <c r="C326" s="360"/>
      <c r="D326" s="361"/>
      <c r="E326" s="360"/>
      <c r="F326" s="360"/>
      <c r="G326" s="360"/>
      <c r="H326" s="423"/>
      <c r="I326" s="376"/>
      <c r="J326" s="221"/>
      <c r="K326" s="629" t="s">
        <v>66</v>
      </c>
      <c r="L326" s="635" t="s">
        <v>279</v>
      </c>
      <c r="M326" s="606"/>
      <c r="N326" s="606"/>
      <c r="O326" s="606"/>
      <c r="P326" s="606"/>
      <c r="Q326" s="636"/>
      <c r="R326" s="712"/>
      <c r="S326" s="708"/>
      <c r="T326" s="708"/>
      <c r="U326" s="708"/>
      <c r="V326" s="862"/>
      <c r="W326" s="726">
        <f>SUM(V327:V329)</f>
        <v>7000000</v>
      </c>
      <c r="X326" s="358"/>
      <c r="Z326" s="373"/>
      <c r="AB326" s="72"/>
    </row>
    <row r="327" spans="1:34" s="79" customFormat="1" ht="16.350000000000001" customHeight="1" x14ac:dyDescent="0.3">
      <c r="A327" s="7"/>
      <c r="B327" s="251"/>
      <c r="C327" s="94"/>
      <c r="E327" s="94"/>
      <c r="F327" s="94"/>
      <c r="G327" s="94"/>
      <c r="H327" s="115"/>
      <c r="I327" s="115"/>
      <c r="J327" s="115"/>
      <c r="K327" s="119"/>
      <c r="L327" s="613" t="s">
        <v>420</v>
      </c>
      <c r="M327" s="615"/>
      <c r="N327" s="829"/>
      <c r="O327" s="705"/>
      <c r="P327" s="829">
        <v>3000000</v>
      </c>
      <c r="Q327" s="705" t="s">
        <v>80</v>
      </c>
      <c r="R327" s="828">
        <v>1</v>
      </c>
      <c r="S327" s="705" t="s">
        <v>80</v>
      </c>
      <c r="T327" s="736">
        <v>1</v>
      </c>
      <c r="U327" s="705" t="s">
        <v>98</v>
      </c>
      <c r="V327" s="829">
        <f t="shared" ref="V327:V329" si="78">P327*R327*T327</f>
        <v>3000000</v>
      </c>
      <c r="W327" s="735"/>
      <c r="X327" s="80"/>
      <c r="Z327" s="544"/>
      <c r="AA327" s="544"/>
      <c r="AB327" s="545"/>
      <c r="AC327" s="545"/>
      <c r="AD327" s="545"/>
      <c r="AE327" s="545"/>
      <c r="AF327" s="545"/>
      <c r="AG327" s="545"/>
      <c r="AH327" s="545"/>
    </row>
    <row r="328" spans="1:34" s="79" customFormat="1" ht="16.350000000000001" customHeight="1" x14ac:dyDescent="0.3">
      <c r="A328" s="7"/>
      <c r="B328" s="251"/>
      <c r="C328" s="94"/>
      <c r="E328" s="94"/>
      <c r="F328" s="94"/>
      <c r="G328" s="94"/>
      <c r="H328" s="115"/>
      <c r="I328" s="115"/>
      <c r="J328" s="115"/>
      <c r="K328" s="119"/>
      <c r="L328" s="613" t="s">
        <v>387</v>
      </c>
      <c r="M328" s="615"/>
      <c r="N328" s="829"/>
      <c r="O328" s="705"/>
      <c r="P328" s="829">
        <v>3500000</v>
      </c>
      <c r="Q328" s="705" t="s">
        <v>80</v>
      </c>
      <c r="R328" s="828">
        <v>1</v>
      </c>
      <c r="S328" s="705" t="s">
        <v>80</v>
      </c>
      <c r="T328" s="736">
        <v>1</v>
      </c>
      <c r="U328" s="705" t="s">
        <v>98</v>
      </c>
      <c r="V328" s="829">
        <f t="shared" si="78"/>
        <v>3500000</v>
      </c>
      <c r="W328" s="735"/>
      <c r="X328" s="80"/>
      <c r="Z328" s="544"/>
      <c r="AA328" s="544"/>
      <c r="AB328" s="545"/>
      <c r="AC328" s="545"/>
      <c r="AD328" s="545"/>
      <c r="AE328" s="545"/>
      <c r="AF328" s="545"/>
      <c r="AG328" s="545"/>
      <c r="AH328" s="545"/>
    </row>
    <row r="329" spans="1:34" s="79" customFormat="1" ht="16.350000000000001" customHeight="1" x14ac:dyDescent="0.3">
      <c r="A329" s="7"/>
      <c r="B329" s="251"/>
      <c r="C329" s="94"/>
      <c r="E329" s="94"/>
      <c r="F329" s="94"/>
      <c r="G329" s="94"/>
      <c r="H329" s="115"/>
      <c r="I329" s="115"/>
      <c r="J329" s="115"/>
      <c r="K329" s="119"/>
      <c r="L329" s="613" t="s">
        <v>388</v>
      </c>
      <c r="M329" s="613"/>
      <c r="N329" s="732"/>
      <c r="O329" s="613"/>
      <c r="P329" s="829">
        <v>500000</v>
      </c>
      <c r="Q329" s="615" t="s">
        <v>80</v>
      </c>
      <c r="R329" s="613">
        <v>1</v>
      </c>
      <c r="S329" s="615" t="s">
        <v>80</v>
      </c>
      <c r="T329" s="613">
        <v>1</v>
      </c>
      <c r="U329" s="705" t="s">
        <v>98</v>
      </c>
      <c r="V329" s="829">
        <f t="shared" si="78"/>
        <v>500000</v>
      </c>
      <c r="W329" s="735"/>
      <c r="X329" s="80"/>
      <c r="Z329" s="544"/>
      <c r="AA329" s="544"/>
      <c r="AB329" s="545"/>
      <c r="AC329" s="545"/>
      <c r="AD329" s="545"/>
      <c r="AE329" s="545"/>
      <c r="AF329" s="545"/>
      <c r="AG329" s="545"/>
      <c r="AH329" s="545"/>
    </row>
    <row r="330" spans="1:34" s="550" customFormat="1" ht="16.350000000000001" customHeight="1" x14ac:dyDescent="0.3">
      <c r="B330" s="551"/>
      <c r="C330" s="552"/>
      <c r="D330" s="553"/>
      <c r="E330" s="552"/>
      <c r="F330" s="571" t="s">
        <v>192</v>
      </c>
      <c r="G330" s="572"/>
      <c r="H330" s="555">
        <f>H331</f>
        <v>0</v>
      </c>
      <c r="I330" s="555">
        <f>I331</f>
        <v>0</v>
      </c>
      <c r="J330" s="555">
        <f>H330-I330</f>
        <v>0</v>
      </c>
      <c r="K330" s="566"/>
      <c r="L330" s="556"/>
      <c r="M330" s="557"/>
      <c r="N330" s="560"/>
      <c r="O330" s="560"/>
      <c r="P330" s="560"/>
      <c r="Q330" s="559"/>
      <c r="R330" s="560"/>
      <c r="S330" s="559"/>
      <c r="T330" s="559"/>
      <c r="U330" s="558"/>
      <c r="V330" s="573"/>
      <c r="W330" s="564"/>
      <c r="X330" s="565"/>
    </row>
    <row r="331" spans="1:34" s="550" customFormat="1" ht="16.350000000000001" customHeight="1" x14ac:dyDescent="0.3">
      <c r="B331" s="551"/>
      <c r="C331" s="552"/>
      <c r="D331" s="553"/>
      <c r="E331" s="552"/>
      <c r="F331" s="571"/>
      <c r="G331" s="554" t="s">
        <v>192</v>
      </c>
      <c r="H331" s="555">
        <f>W331</f>
        <v>0</v>
      </c>
      <c r="I331" s="555">
        <v>0</v>
      </c>
      <c r="J331" s="555">
        <f>H331-I331</f>
        <v>0</v>
      </c>
      <c r="K331" s="566"/>
      <c r="L331" s="851"/>
      <c r="M331" s="852"/>
      <c r="N331" s="855"/>
      <c r="O331" s="855"/>
      <c r="P331" s="855"/>
      <c r="Q331" s="854"/>
      <c r="R331" s="855"/>
      <c r="S331" s="854"/>
      <c r="T331" s="854"/>
      <c r="U331" s="853"/>
      <c r="V331" s="938"/>
      <c r="W331" s="859"/>
      <c r="X331" s="565"/>
    </row>
    <row r="332" spans="1:34" s="40" customFormat="1" ht="16.350000000000001" customHeight="1" x14ac:dyDescent="0.3">
      <c r="B332" s="467"/>
      <c r="C332" s="476"/>
      <c r="D332" s="476"/>
      <c r="E332" s="468"/>
      <c r="F332" s="479" t="s">
        <v>671</v>
      </c>
      <c r="G332" s="533"/>
      <c r="H332" s="534">
        <f>H333</f>
        <v>0</v>
      </c>
      <c r="I332" s="492">
        <f>I333</f>
        <v>0</v>
      </c>
      <c r="J332" s="495">
        <f>H332-I332</f>
        <v>0</v>
      </c>
      <c r="K332" s="514"/>
      <c r="L332" s="480"/>
      <c r="M332" s="481"/>
      <c r="N332" s="482"/>
      <c r="O332" s="483"/>
      <c r="P332" s="482"/>
      <c r="Q332" s="484"/>
      <c r="R332" s="483"/>
      <c r="S332" s="484"/>
      <c r="T332" s="484"/>
      <c r="U332" s="484"/>
      <c r="V332" s="485"/>
      <c r="W332" s="470"/>
      <c r="X332" s="372"/>
      <c r="AB332" s="72"/>
    </row>
    <row r="333" spans="1:34" s="40" customFormat="1" ht="16.350000000000001" customHeight="1" x14ac:dyDescent="0.3">
      <c r="B333" s="467"/>
      <c r="C333" s="476"/>
      <c r="D333" s="476"/>
      <c r="E333" s="476"/>
      <c r="F333" s="476"/>
      <c r="G333" s="476" t="s">
        <v>671</v>
      </c>
      <c r="H333" s="477">
        <f>W333</f>
        <v>0</v>
      </c>
      <c r="I333" s="477">
        <v>0</v>
      </c>
      <c r="J333" s="477">
        <f>H333-I333</f>
        <v>0</v>
      </c>
      <c r="K333" s="458"/>
      <c r="L333" s="624"/>
      <c r="M333" s="677"/>
      <c r="N333" s="967"/>
      <c r="O333" s="745"/>
      <c r="P333" s="967"/>
      <c r="Q333" s="746"/>
      <c r="R333" s="745"/>
      <c r="S333" s="746"/>
      <c r="T333" s="746"/>
      <c r="U333" s="746"/>
      <c r="V333" s="747"/>
      <c r="W333" s="917"/>
      <c r="X333" s="378"/>
      <c r="AB333" s="72"/>
    </row>
    <row r="334" spans="1:34" s="65" customFormat="1" ht="16.350000000000001" customHeight="1" x14ac:dyDescent="0.3">
      <c r="B334" s="251"/>
      <c r="C334" s="75" t="s">
        <v>546</v>
      </c>
      <c r="D334" s="82"/>
      <c r="E334" s="83"/>
      <c r="F334" s="83"/>
      <c r="G334" s="85"/>
      <c r="H334" s="76">
        <f t="shared" ref="H334:I336" si="79">H335</f>
        <v>0</v>
      </c>
      <c r="I334" s="76">
        <f t="shared" si="79"/>
        <v>0</v>
      </c>
      <c r="J334" s="130">
        <f t="shared" ref="J334:J335" si="80">H334-I334</f>
        <v>0</v>
      </c>
      <c r="K334" s="131"/>
      <c r="L334" s="132"/>
      <c r="M334" s="132"/>
      <c r="N334" s="132"/>
      <c r="O334" s="132"/>
      <c r="P334" s="132"/>
      <c r="Q334" s="132"/>
      <c r="R334" s="133"/>
      <c r="S334" s="134"/>
      <c r="T334" s="134"/>
      <c r="U334" s="134"/>
      <c r="V334" s="135"/>
      <c r="W334" s="28"/>
      <c r="X334" s="106"/>
      <c r="Z334" s="66"/>
    </row>
    <row r="335" spans="1:34" s="65" customFormat="1" ht="16.350000000000001" customHeight="1" x14ac:dyDescent="0.3">
      <c r="B335" s="251"/>
      <c r="C335" s="84"/>
      <c r="D335" s="75" t="s">
        <v>542</v>
      </c>
      <c r="E335" s="83"/>
      <c r="F335" s="83"/>
      <c r="G335" s="85"/>
      <c r="H335" s="76">
        <f t="shared" si="79"/>
        <v>0</v>
      </c>
      <c r="I335" s="76">
        <f t="shared" si="79"/>
        <v>0</v>
      </c>
      <c r="J335" s="130">
        <f t="shared" si="80"/>
        <v>0</v>
      </c>
      <c r="K335" s="131"/>
      <c r="L335" s="132"/>
      <c r="M335" s="132"/>
      <c r="N335" s="132"/>
      <c r="O335" s="132"/>
      <c r="P335" s="132"/>
      <c r="Q335" s="132"/>
      <c r="R335" s="133"/>
      <c r="S335" s="134"/>
      <c r="T335" s="134"/>
      <c r="U335" s="134"/>
      <c r="V335" s="135"/>
      <c r="W335" s="28"/>
      <c r="X335" s="106"/>
      <c r="Z335" s="66"/>
    </row>
    <row r="336" spans="1:34" s="550" customFormat="1" ht="16.350000000000001" customHeight="1" x14ac:dyDescent="0.3">
      <c r="B336" s="551"/>
      <c r="C336" s="574"/>
      <c r="D336" s="574"/>
      <c r="E336" s="575" t="s">
        <v>693</v>
      </c>
      <c r="F336" s="576"/>
      <c r="G336" s="577"/>
      <c r="H336" s="555">
        <f t="shared" si="79"/>
        <v>0</v>
      </c>
      <c r="I336" s="555">
        <f t="shared" si="79"/>
        <v>0</v>
      </c>
      <c r="J336" s="555">
        <f t="shared" ref="I336:J337" si="81">J337</f>
        <v>0</v>
      </c>
      <c r="K336" s="562"/>
      <c r="L336" s="578"/>
      <c r="M336" s="578"/>
      <c r="N336" s="579"/>
      <c r="O336" s="579"/>
      <c r="P336" s="579"/>
      <c r="Q336" s="579"/>
      <c r="R336" s="560"/>
      <c r="S336" s="559"/>
      <c r="T336" s="559"/>
      <c r="U336" s="558"/>
      <c r="V336" s="573"/>
      <c r="W336" s="564"/>
      <c r="X336" s="565"/>
    </row>
    <row r="337" spans="2:24" s="550" customFormat="1" ht="16.350000000000001" customHeight="1" x14ac:dyDescent="0.3">
      <c r="B337" s="551"/>
      <c r="C337" s="580"/>
      <c r="D337" s="574"/>
      <c r="E337" s="580"/>
      <c r="F337" s="581" t="s">
        <v>616</v>
      </c>
      <c r="G337" s="577"/>
      <c r="H337" s="555">
        <f>H338</f>
        <v>0</v>
      </c>
      <c r="I337" s="555">
        <f t="shared" si="81"/>
        <v>0</v>
      </c>
      <c r="J337" s="555">
        <f t="shared" si="81"/>
        <v>0</v>
      </c>
      <c r="K337" s="562"/>
      <c r="L337" s="578"/>
      <c r="M337" s="578"/>
      <c r="N337" s="579"/>
      <c r="O337" s="579"/>
      <c r="P337" s="579"/>
      <c r="Q337" s="579"/>
      <c r="R337" s="560"/>
      <c r="S337" s="559"/>
      <c r="T337" s="559"/>
      <c r="U337" s="558"/>
      <c r="V337" s="573"/>
      <c r="W337" s="564"/>
      <c r="X337" s="565"/>
    </row>
    <row r="338" spans="2:24" s="550" customFormat="1" ht="16.350000000000001" customHeight="1" x14ac:dyDescent="0.3">
      <c r="B338" s="551"/>
      <c r="C338" s="580"/>
      <c r="D338" s="574"/>
      <c r="E338" s="580"/>
      <c r="F338" s="581"/>
      <c r="G338" s="581" t="s">
        <v>649</v>
      </c>
      <c r="H338" s="555">
        <f>W338</f>
        <v>0</v>
      </c>
      <c r="I338" s="555">
        <v>0</v>
      </c>
      <c r="J338" s="555">
        <f>H338-I338</f>
        <v>0</v>
      </c>
      <c r="K338" s="566"/>
      <c r="L338" s="851"/>
      <c r="M338" s="852"/>
      <c r="N338" s="855"/>
      <c r="O338" s="855"/>
      <c r="P338" s="855"/>
      <c r="Q338" s="854"/>
      <c r="R338" s="855"/>
      <c r="S338" s="854"/>
      <c r="T338" s="854"/>
      <c r="U338" s="853"/>
      <c r="V338" s="938"/>
      <c r="W338" s="859"/>
      <c r="X338" s="565"/>
    </row>
    <row r="339" spans="2:24" s="550" customFormat="1" ht="16.350000000000001" customHeight="1" x14ac:dyDescent="0.3">
      <c r="B339" s="551"/>
      <c r="C339" s="580"/>
      <c r="D339" s="574"/>
      <c r="E339" s="580"/>
      <c r="F339" s="574"/>
      <c r="G339" s="574"/>
      <c r="H339" s="563"/>
      <c r="I339" s="563"/>
      <c r="J339" s="563"/>
      <c r="K339" s="568"/>
      <c r="L339" s="856"/>
      <c r="M339" s="856"/>
      <c r="N339" s="968"/>
      <c r="O339" s="968"/>
      <c r="P339" s="857"/>
      <c r="Q339" s="857"/>
      <c r="R339" s="857"/>
      <c r="S339" s="942"/>
      <c r="T339" s="942"/>
      <c r="U339" s="858"/>
      <c r="V339" s="942"/>
      <c r="W339" s="969"/>
      <c r="X339" s="561"/>
    </row>
    <row r="340" spans="2:24" s="550" customFormat="1" ht="16.350000000000001" customHeight="1" x14ac:dyDescent="0.3">
      <c r="B340" s="551"/>
      <c r="C340" s="580"/>
      <c r="D340" s="574"/>
      <c r="E340" s="580"/>
      <c r="F340" s="574"/>
      <c r="G340" s="574"/>
      <c r="H340" s="563"/>
      <c r="I340" s="563"/>
      <c r="J340" s="563"/>
      <c r="K340" s="568"/>
      <c r="L340" s="856"/>
      <c r="M340" s="856"/>
      <c r="N340" s="968"/>
      <c r="O340" s="968"/>
      <c r="P340" s="857"/>
      <c r="Q340" s="857"/>
      <c r="R340" s="857"/>
      <c r="S340" s="942"/>
      <c r="T340" s="942"/>
      <c r="U340" s="858"/>
      <c r="V340" s="942"/>
      <c r="W340" s="969"/>
      <c r="X340" s="561"/>
    </row>
  </sheetData>
  <mergeCells count="21">
    <mergeCell ref="B1:X1"/>
    <mergeCell ref="B3:G3"/>
    <mergeCell ref="K3:X4"/>
    <mergeCell ref="B5:G5"/>
    <mergeCell ref="B84:G84"/>
    <mergeCell ref="L43:M43"/>
    <mergeCell ref="L44:M44"/>
    <mergeCell ref="L45:M45"/>
    <mergeCell ref="L46:M46"/>
    <mergeCell ref="L47:M47"/>
    <mergeCell ref="L75:M75"/>
    <mergeCell ref="L76:M76"/>
    <mergeCell ref="L77:M77"/>
    <mergeCell ref="B110:G110"/>
    <mergeCell ref="C249:G249"/>
    <mergeCell ref="B109:G109"/>
    <mergeCell ref="B108:G108"/>
    <mergeCell ref="B13:G13"/>
    <mergeCell ref="B24:G24"/>
    <mergeCell ref="B51:G51"/>
    <mergeCell ref="F243:F244"/>
  </mergeCells>
  <phoneticPr fontId="53" type="noConversion"/>
  <printOptions horizontalCentered="1"/>
  <pageMargins left="0.27541667222976685" right="0.27541667222976685" top="0.74750000238418579" bottom="0.59041666984558105" header="0.43291667103767395" footer="0.31486111879348755"/>
  <pageSetup paperSize="9" scale="70" fitToHeight="0" orientation="landscape" r:id="rId1"/>
  <rowBreaks count="10" manualBreakCount="10">
    <brk id="37" max="1048575" man="1"/>
    <brk id="103" max="1048575" man="1"/>
    <brk id="110" max="1048575" man="1"/>
    <brk id="146" max="1048575" man="1"/>
    <brk id="171" max="1048575" man="1"/>
    <brk id="198" max="1048575" man="1"/>
    <brk id="224" max="1048575" man="1"/>
    <brk id="253" max="1048575" man="1"/>
    <brk id="288" max="1048575" man="1"/>
    <brk id="320" max="1048575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FFFFFF"/>
    <pageSetUpPr fitToPage="1"/>
  </sheetPr>
  <dimension ref="B16:S16"/>
  <sheetViews>
    <sheetView showGridLines="0" view="pageBreakPreview" zoomScale="75" zoomScaleNormal="100" zoomScaleSheetLayoutView="75" workbookViewId="0">
      <selection activeCell="Q20" sqref="Q20"/>
    </sheetView>
  </sheetViews>
  <sheetFormatPr defaultColWidth="9" defaultRowHeight="13.5" x14ac:dyDescent="0.3"/>
  <cols>
    <col min="1" max="1" width="0.125" style="1025" customWidth="1"/>
    <col min="2" max="2" width="8" style="1025" customWidth="1"/>
    <col min="3" max="3" width="6.75" style="1025" customWidth="1"/>
    <col min="4" max="4" width="6.25" style="1025" customWidth="1"/>
    <col min="5" max="5" width="12.75" style="1025" customWidth="1"/>
    <col min="6" max="6" width="11.5" style="1025" customWidth="1"/>
    <col min="7" max="7" width="13" style="1025" bestFit="1" customWidth="1"/>
    <col min="8" max="8" width="10.75" style="1025" customWidth="1"/>
    <col min="9" max="9" width="2.25" style="1025" customWidth="1"/>
    <col min="10" max="10" width="10.75" style="1025" customWidth="1"/>
    <col min="11" max="11" width="8.25" style="1025" customWidth="1"/>
    <col min="12" max="12" width="2.125" style="1025" customWidth="1"/>
    <col min="13" max="13" width="5.25" style="1025" customWidth="1"/>
    <col min="14" max="14" width="2" style="1025" customWidth="1"/>
    <col min="15" max="15" width="4.5" style="1025" customWidth="1"/>
    <col min="16" max="16" width="2.75" style="1025" customWidth="1"/>
    <col min="17" max="17" width="10.75" style="1025" customWidth="1"/>
    <col min="18" max="18" width="11.5" style="1025" customWidth="1"/>
    <col min="19" max="19" width="0.75" style="1025" customWidth="1"/>
    <col min="20" max="22" width="8.75" style="1025" customWidth="1"/>
    <col min="23" max="16384" width="9" style="1025"/>
  </cols>
  <sheetData>
    <row r="16" spans="2:19" ht="33.75" x14ac:dyDescent="0.3">
      <c r="B16" s="1872" t="s">
        <v>178</v>
      </c>
      <c r="C16" s="1872"/>
      <c r="D16" s="1872"/>
      <c r="E16" s="1872"/>
      <c r="F16" s="1872"/>
      <c r="G16" s="1872"/>
      <c r="H16" s="1872"/>
      <c r="I16" s="1872"/>
      <c r="J16" s="1872"/>
      <c r="K16" s="1872"/>
      <c r="L16" s="1872"/>
      <c r="M16" s="1872"/>
      <c r="N16" s="1872"/>
      <c r="O16" s="1872"/>
      <c r="P16" s="1872"/>
      <c r="Q16" s="1872"/>
      <c r="R16" s="1872"/>
      <c r="S16" s="1872"/>
    </row>
  </sheetData>
  <mergeCells count="1">
    <mergeCell ref="B16:S16"/>
  </mergeCells>
  <phoneticPr fontId="53" type="noConversion"/>
  <pageMargins left="0.27541667222976685" right="0.27541667222976685" top="0.74750000238418579" bottom="0.59041666984558105" header="0.43291667103767395" footer="0.31486111879348755"/>
  <pageSetup paperSize="9" fitToHeight="0" orientation="landscape" r:id="rId1"/>
  <headerFooter>
    <oddFooter>&amp;C&amp;"맑은 고딕,Regular"페이지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FFFFFF"/>
    <pageSetUpPr fitToPage="1"/>
  </sheetPr>
  <dimension ref="B16:S16"/>
  <sheetViews>
    <sheetView showGridLines="0" view="pageBreakPreview" zoomScale="75" zoomScaleNormal="100" zoomScaleSheetLayoutView="75" workbookViewId="0">
      <selection activeCell="R18" sqref="R18"/>
    </sheetView>
  </sheetViews>
  <sheetFormatPr defaultColWidth="9" defaultRowHeight="13.5" x14ac:dyDescent="0.3"/>
  <cols>
    <col min="1" max="1" width="0.125" style="1025" customWidth="1"/>
    <col min="2" max="2" width="8" style="1025" customWidth="1"/>
    <col min="3" max="3" width="6.75" style="1025" customWidth="1"/>
    <col min="4" max="4" width="6.25" style="1025" customWidth="1"/>
    <col min="5" max="5" width="12.75" style="1025" customWidth="1"/>
    <col min="6" max="6" width="11.5" style="1025" customWidth="1"/>
    <col min="7" max="7" width="13" style="1025" bestFit="1" customWidth="1"/>
    <col min="8" max="8" width="10.75" style="1025" customWidth="1"/>
    <col min="9" max="9" width="2.25" style="1025" customWidth="1"/>
    <col min="10" max="10" width="10.75" style="1025" customWidth="1"/>
    <col min="11" max="11" width="8.25" style="1025" customWidth="1"/>
    <col min="12" max="12" width="2.125" style="1025" customWidth="1"/>
    <col min="13" max="13" width="5.25" style="1025" customWidth="1"/>
    <col min="14" max="14" width="2" style="1025" customWidth="1"/>
    <col min="15" max="15" width="4.5" style="1025" customWidth="1"/>
    <col min="16" max="16" width="2.75" style="1025" customWidth="1"/>
    <col min="17" max="17" width="10.75" style="1025" customWidth="1"/>
    <col min="18" max="18" width="11.5" style="1025" customWidth="1"/>
    <col min="19" max="19" width="0.75" style="1025" customWidth="1"/>
    <col min="20" max="22" width="8.75" style="1025" customWidth="1"/>
    <col min="23" max="16384" width="9" style="1025"/>
  </cols>
  <sheetData>
    <row r="16" spans="2:19" ht="33.75" x14ac:dyDescent="0.3">
      <c r="B16" s="1872" t="s">
        <v>740</v>
      </c>
      <c r="C16" s="1872"/>
      <c r="D16" s="1872"/>
      <c r="E16" s="1872"/>
      <c r="F16" s="1872"/>
      <c r="G16" s="1872"/>
      <c r="H16" s="1872"/>
      <c r="I16" s="1872"/>
      <c r="J16" s="1872"/>
      <c r="K16" s="1872"/>
      <c r="L16" s="1872"/>
      <c r="M16" s="1872"/>
      <c r="N16" s="1872"/>
      <c r="O16" s="1872"/>
      <c r="P16" s="1872"/>
      <c r="Q16" s="1872"/>
      <c r="R16" s="1872"/>
      <c r="S16" s="1872"/>
    </row>
  </sheetData>
  <mergeCells count="1">
    <mergeCell ref="B16:S16"/>
  </mergeCells>
  <phoneticPr fontId="53" type="noConversion"/>
  <pageMargins left="0.27541667222976685" right="0.27541667222976685" top="0.74750000238418579" bottom="0.59041666984558105" header="0.43291667103767395" footer="0.31486111879348755"/>
  <pageSetup paperSize="9" fitToHeight="0" orientation="landscape" r:id="rId1"/>
  <headerFooter>
    <oddFooter>&amp;C&amp;"맑은 고딕,Regular"페이지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rgb="FFFFFF00"/>
    <pageSetUpPr fitToPage="1"/>
  </sheetPr>
  <dimension ref="B1:O68"/>
  <sheetViews>
    <sheetView view="pageBreakPreview" zoomScaleNormal="100" zoomScaleSheetLayoutView="100" workbookViewId="0">
      <selection activeCell="P35" sqref="P35"/>
    </sheetView>
  </sheetViews>
  <sheetFormatPr defaultColWidth="9" defaultRowHeight="13.5" x14ac:dyDescent="0.3"/>
  <cols>
    <col min="1" max="1" width="0.125" style="1025" customWidth="1"/>
    <col min="2" max="2" width="9.75" style="1025" customWidth="1"/>
    <col min="3" max="3" width="16.125" style="1025" customWidth="1"/>
    <col min="4" max="6" width="12.75" style="1059" customWidth="1"/>
    <col min="7" max="7" width="1" style="1025" customWidth="1"/>
    <col min="8" max="8" width="12.25" style="1025" customWidth="1"/>
    <col min="9" max="9" width="16.25" style="1025" customWidth="1"/>
    <col min="10" max="10" width="12" style="1059" customWidth="1"/>
    <col min="11" max="11" width="11.75" style="1059" customWidth="1"/>
    <col min="12" max="12" width="12" style="1059" customWidth="1"/>
    <col min="13" max="13" width="9" style="1025"/>
    <col min="14" max="14" width="17.375" style="1025" bestFit="1" customWidth="1"/>
    <col min="15" max="16384" width="9" style="1025"/>
  </cols>
  <sheetData>
    <row r="1" spans="2:15" ht="18" customHeight="1" x14ac:dyDescent="0.3">
      <c r="B1" s="1494" t="s">
        <v>740</v>
      </c>
      <c r="C1" s="1284"/>
      <c r="D1" s="1495"/>
      <c r="E1" s="1495"/>
      <c r="F1" s="1495"/>
      <c r="G1" s="1284"/>
      <c r="H1" s="1284"/>
      <c r="I1" s="1284"/>
      <c r="J1" s="1495"/>
      <c r="K1" s="1495"/>
      <c r="L1" s="1495"/>
      <c r="M1" s="1284"/>
      <c r="N1" s="1284"/>
      <c r="O1" s="1284"/>
    </row>
    <row r="2" spans="2:15" ht="19.7" customHeight="1" x14ac:dyDescent="0.3">
      <c r="B2" s="1496" t="s">
        <v>608</v>
      </c>
      <c r="C2" s="1140"/>
      <c r="D2" s="1057"/>
      <c r="E2" s="1057"/>
      <c r="F2" s="1057"/>
      <c r="G2" s="1140"/>
      <c r="H2" s="1140"/>
      <c r="I2" s="1140"/>
      <c r="J2" s="1057"/>
      <c r="K2" s="1057"/>
      <c r="L2" s="1057"/>
    </row>
    <row r="3" spans="2:15" ht="16.5" customHeight="1" x14ac:dyDescent="0.3">
      <c r="B3" s="1497"/>
      <c r="C3" s="1497"/>
      <c r="D3" s="1194"/>
      <c r="E3" s="1194"/>
      <c r="F3" s="1179" t="s">
        <v>639</v>
      </c>
      <c r="G3" s="1497"/>
      <c r="H3" s="1497"/>
      <c r="I3" s="1497"/>
      <c r="J3" s="1194"/>
      <c r="K3" s="1194"/>
      <c r="L3" s="1179" t="s">
        <v>639</v>
      </c>
    </row>
    <row r="4" spans="2:15" ht="10.5" customHeight="1" x14ac:dyDescent="0.3">
      <c r="B4" s="1897" t="s">
        <v>431</v>
      </c>
      <c r="C4" s="1979"/>
      <c r="D4" s="2046" t="s">
        <v>74</v>
      </c>
      <c r="E4" s="2048" t="s">
        <v>287</v>
      </c>
      <c r="F4" s="2050" t="s">
        <v>599</v>
      </c>
      <c r="G4" s="1497"/>
      <c r="H4" s="2057" t="s">
        <v>782</v>
      </c>
      <c r="I4" s="2058"/>
      <c r="J4" s="2046" t="s">
        <v>74</v>
      </c>
      <c r="K4" s="2048" t="s">
        <v>287</v>
      </c>
      <c r="L4" s="2050" t="s">
        <v>611</v>
      </c>
    </row>
    <row r="5" spans="2:15" ht="6.75" customHeight="1" x14ac:dyDescent="0.3">
      <c r="B5" s="1899"/>
      <c r="C5" s="2054"/>
      <c r="D5" s="2047"/>
      <c r="E5" s="2049"/>
      <c r="F5" s="2051"/>
      <c r="G5" s="1497"/>
      <c r="H5" s="2059"/>
      <c r="I5" s="2060"/>
      <c r="J5" s="2047"/>
      <c r="K5" s="2049"/>
      <c r="L5" s="2051"/>
    </row>
    <row r="6" spans="2:15" x14ac:dyDescent="0.3">
      <c r="B6" s="1986"/>
      <c r="C6" s="1988"/>
      <c r="D6" s="1498" t="s">
        <v>148</v>
      </c>
      <c r="E6" s="1498" t="s">
        <v>143</v>
      </c>
      <c r="F6" s="1499" t="s">
        <v>153</v>
      </c>
      <c r="G6" s="1497"/>
      <c r="H6" s="2061"/>
      <c r="I6" s="2062"/>
      <c r="J6" s="1498" t="s">
        <v>148</v>
      </c>
      <c r="K6" s="1498" t="s">
        <v>143</v>
      </c>
      <c r="L6" s="1499" t="s">
        <v>153</v>
      </c>
    </row>
    <row r="7" spans="2:15" ht="18" customHeight="1" x14ac:dyDescent="0.3">
      <c r="B7" s="2052" t="s">
        <v>458</v>
      </c>
      <c r="C7" s="2053"/>
      <c r="D7" s="1500">
        <f>SUM(D8,D17,J16,J22,J25)</f>
        <v>28927786061</v>
      </c>
      <c r="E7" s="1500">
        <f>SUM(E8,E17,K16,K22,K25)</f>
        <v>21798618283</v>
      </c>
      <c r="F7" s="1501">
        <f>SUM(F8,F17,L16,L25)</f>
        <v>7129167778</v>
      </c>
      <c r="G7" s="1497"/>
      <c r="H7" s="2041" t="s">
        <v>151</v>
      </c>
      <c r="I7" s="1321" t="s">
        <v>52</v>
      </c>
      <c r="J7" s="1500"/>
      <c r="K7" s="1500"/>
      <c r="L7" s="1501"/>
    </row>
    <row r="8" spans="2:15" x14ac:dyDescent="0.3">
      <c r="B8" s="2055" t="s">
        <v>340</v>
      </c>
      <c r="C8" s="1502" t="s">
        <v>52</v>
      </c>
      <c r="D8" s="1500">
        <f>SUM(D9:D13)</f>
        <v>1340000000</v>
      </c>
      <c r="E8" s="1500">
        <f>SUM(E9:E13)</f>
        <v>1885574000</v>
      </c>
      <c r="F8" s="1501">
        <f>SUM(F9:F13)</f>
        <v>-545574000</v>
      </c>
      <c r="G8" s="1497"/>
      <c r="H8" s="2042"/>
      <c r="I8" s="1295" t="s">
        <v>166</v>
      </c>
      <c r="J8" s="1181"/>
      <c r="K8" s="1181"/>
      <c r="L8" s="1503"/>
    </row>
    <row r="9" spans="2:15" x14ac:dyDescent="0.3">
      <c r="B9" s="1947"/>
      <c r="C9" s="1504" t="s">
        <v>244</v>
      </c>
      <c r="D9" s="1186">
        <f>'3-4. 수입예산 성질별 총괄표(완료)'!F8</f>
        <v>940000000</v>
      </c>
      <c r="E9" s="1186">
        <f>'3-4. 수입예산 성질별 총괄표(완료)'!H8</f>
        <v>1050000000</v>
      </c>
      <c r="F9" s="1505">
        <f>D9-E9</f>
        <v>-110000000</v>
      </c>
      <c r="G9" s="1497"/>
      <c r="H9" s="2042"/>
      <c r="I9" s="1310"/>
      <c r="J9" s="1186"/>
      <c r="K9" s="1186"/>
      <c r="L9" s="1505"/>
    </row>
    <row r="10" spans="2:15" x14ac:dyDescent="0.3">
      <c r="B10" s="1947"/>
      <c r="C10" s="1504" t="s">
        <v>354</v>
      </c>
      <c r="D10" s="1186">
        <f>'3-4. 수입예산 성질별 총괄표(완료)'!F11</f>
        <v>300000000</v>
      </c>
      <c r="E10" s="1186">
        <f>'3-4. 수입예산 성질별 총괄표(완료)'!H11</f>
        <v>735574000</v>
      </c>
      <c r="F10" s="1505">
        <f>D10-E10</f>
        <v>-435574000</v>
      </c>
      <c r="G10" s="1497"/>
      <c r="H10" s="2042"/>
      <c r="I10" s="1310" t="s">
        <v>62</v>
      </c>
      <c r="J10" s="1186"/>
      <c r="K10" s="1186"/>
      <c r="L10" s="1505"/>
    </row>
    <row r="11" spans="2:15" x14ac:dyDescent="0.3">
      <c r="B11" s="1947"/>
      <c r="C11" s="1506" t="s">
        <v>145</v>
      </c>
      <c r="D11" s="1186">
        <f>'3-4. 수입예산 성질별 총괄표(완료)'!F14</f>
        <v>0</v>
      </c>
      <c r="E11" s="1186">
        <f>'3-4. 수입예산 성질별 총괄표(완료)'!H14</f>
        <v>0</v>
      </c>
      <c r="F11" s="1505">
        <f t="shared" ref="F11:F13" si="0">D11-E11</f>
        <v>0</v>
      </c>
      <c r="G11" s="1497"/>
      <c r="H11" s="1507"/>
      <c r="I11" s="1310"/>
      <c r="J11" s="1186"/>
      <c r="K11" s="1186"/>
      <c r="L11" s="1505"/>
    </row>
    <row r="12" spans="2:15" x14ac:dyDescent="0.3">
      <c r="B12" s="1947"/>
      <c r="C12" s="1504" t="s">
        <v>312</v>
      </c>
      <c r="D12" s="1186">
        <f>'3-4. 수입예산 성질별 총괄표(완료)'!F18</f>
        <v>100000000</v>
      </c>
      <c r="E12" s="1186">
        <f>'3-4. 수입예산 성질별 총괄표(완료)'!H18</f>
        <v>100000000</v>
      </c>
      <c r="F12" s="1505">
        <f t="shared" si="0"/>
        <v>0</v>
      </c>
      <c r="G12" s="1497"/>
      <c r="H12" s="1507"/>
      <c r="I12" s="1310"/>
      <c r="J12" s="1186"/>
      <c r="K12" s="1186"/>
      <c r="L12" s="1505"/>
    </row>
    <row r="13" spans="2:15" x14ac:dyDescent="0.3">
      <c r="B13" s="1947"/>
      <c r="C13" s="1508" t="s">
        <v>220</v>
      </c>
      <c r="D13" s="1186">
        <f>'3-4. 수입예산 성질별 총괄표(완료)'!F25</f>
        <v>0</v>
      </c>
      <c r="E13" s="1186">
        <f>'3-4. 수입예산 성질별 총괄표(완료)'!H25</f>
        <v>0</v>
      </c>
      <c r="F13" s="1505">
        <f t="shared" si="0"/>
        <v>0</v>
      </c>
      <c r="G13" s="1497"/>
      <c r="H13" s="1507"/>
      <c r="I13" s="1310"/>
      <c r="J13" s="1186"/>
      <c r="K13" s="1186"/>
      <c r="L13" s="1505"/>
    </row>
    <row r="14" spans="2:15" x14ac:dyDescent="0.3">
      <c r="B14" s="1947"/>
      <c r="C14" s="1508"/>
      <c r="D14" s="1186"/>
      <c r="E14" s="1186"/>
      <c r="F14" s="1505"/>
      <c r="G14" s="1497"/>
      <c r="H14" s="1507"/>
      <c r="I14" s="1310"/>
      <c r="J14" s="1186"/>
      <c r="K14" s="1186"/>
      <c r="L14" s="1505"/>
      <c r="O14" s="1025" t="s">
        <v>113</v>
      </c>
    </row>
    <row r="15" spans="2:15" x14ac:dyDescent="0.3">
      <c r="B15" s="1947"/>
      <c r="C15" s="1508"/>
      <c r="D15" s="1186"/>
      <c r="E15" s="1186"/>
      <c r="F15" s="1505"/>
      <c r="G15" s="1497"/>
      <c r="H15" s="1507"/>
      <c r="I15" s="1310"/>
      <c r="J15" s="1186"/>
      <c r="K15" s="1186"/>
      <c r="L15" s="1505"/>
    </row>
    <row r="16" spans="2:15" x14ac:dyDescent="0.3">
      <c r="B16" s="2056"/>
      <c r="C16" s="1508"/>
      <c r="D16" s="1186"/>
      <c r="E16" s="1186"/>
      <c r="F16" s="1505"/>
      <c r="G16" s="1497"/>
      <c r="H16" s="2041" t="s">
        <v>313</v>
      </c>
      <c r="I16" s="1321" t="s">
        <v>52</v>
      </c>
      <c r="J16" s="1500">
        <f>SUM(J17:J18)</f>
        <v>4000000000</v>
      </c>
      <c r="K16" s="1500">
        <f>SUM(K17:K18)</f>
        <v>3410000000</v>
      </c>
      <c r="L16" s="1501">
        <f>J16-K16</f>
        <v>590000000</v>
      </c>
    </row>
    <row r="17" spans="2:12" x14ac:dyDescent="0.3">
      <c r="B17" s="2041" t="s">
        <v>149</v>
      </c>
      <c r="C17" s="1321" t="s">
        <v>52</v>
      </c>
      <c r="D17" s="1500">
        <f>SUM(D18:D20)</f>
        <v>0</v>
      </c>
      <c r="E17" s="1500">
        <f>SUM(E18:E20)</f>
        <v>0</v>
      </c>
      <c r="F17" s="1501">
        <f>SUM(F18:F20)</f>
        <v>0</v>
      </c>
      <c r="G17" s="1497"/>
      <c r="H17" s="2042"/>
      <c r="I17" s="1295" t="s">
        <v>89</v>
      </c>
      <c r="J17" s="1181">
        <f>'3-4. 수입예산 성질별 총괄표(완료)'!F45</f>
        <v>0</v>
      </c>
      <c r="K17" s="1181">
        <f>'3-4. 수입예산 성질별 총괄표(완료)'!H45</f>
        <v>0</v>
      </c>
      <c r="L17" s="1503">
        <f>J17-K17</f>
        <v>0</v>
      </c>
    </row>
    <row r="18" spans="2:12" x14ac:dyDescent="0.3">
      <c r="B18" s="2042"/>
      <c r="C18" s="1295" t="s">
        <v>352</v>
      </c>
      <c r="D18" s="1181">
        <f>'3-4. 수입예산 성질별 총괄표(완료)'!F28</f>
        <v>0</v>
      </c>
      <c r="E18" s="1181">
        <f>'3-4. 수입예산 성질별 총괄표(완료)'!H28</f>
        <v>0</v>
      </c>
      <c r="F18" s="1503">
        <f>D18-E18</f>
        <v>0</v>
      </c>
      <c r="G18" s="1497"/>
      <c r="H18" s="2042"/>
      <c r="I18" s="1310" t="s">
        <v>342</v>
      </c>
      <c r="J18" s="1186">
        <f>'3-4. 수입예산 성질별 총괄표(완료)'!F48</f>
        <v>4000000000</v>
      </c>
      <c r="K18" s="1186">
        <f>'3-4. 수입예산 성질별 총괄표(완료)'!H48</f>
        <v>3410000000</v>
      </c>
      <c r="L18" s="1505">
        <f>J18-K18</f>
        <v>590000000</v>
      </c>
    </row>
    <row r="19" spans="2:12" x14ac:dyDescent="0.3">
      <c r="B19" s="2042"/>
      <c r="C19" s="1310" t="s">
        <v>570</v>
      </c>
      <c r="D19" s="1186"/>
      <c r="E19" s="1186"/>
      <c r="F19" s="1505">
        <f>D19-E19</f>
        <v>0</v>
      </c>
      <c r="G19" s="1497"/>
      <c r="H19" s="2043"/>
      <c r="I19" s="1315"/>
      <c r="J19" s="1509"/>
      <c r="K19" s="1509"/>
      <c r="L19" s="1510"/>
    </row>
    <row r="20" spans="2:12" x14ac:dyDescent="0.3">
      <c r="B20" s="2042"/>
      <c r="C20" s="1310" t="s">
        <v>146</v>
      </c>
      <c r="D20" s="1186">
        <f>'3-4. 수입예산 성질별 총괄표(완료)'!F30</f>
        <v>0</v>
      </c>
      <c r="E20" s="1186">
        <f>'3-4. 수입예산 성질별 총괄표(완료)'!H30</f>
        <v>0</v>
      </c>
      <c r="F20" s="1505">
        <f>D20-E20</f>
        <v>0</v>
      </c>
      <c r="G20" s="1497"/>
      <c r="H20" s="2041" t="s">
        <v>87</v>
      </c>
      <c r="I20" s="1321" t="s">
        <v>52</v>
      </c>
      <c r="J20" s="1500"/>
      <c r="K20" s="1500"/>
      <c r="L20" s="1501"/>
    </row>
    <row r="21" spans="2:12" x14ac:dyDescent="0.3">
      <c r="B21" s="2043"/>
      <c r="C21" s="1310"/>
      <c r="D21" s="1186"/>
      <c r="E21" s="1186"/>
      <c r="F21" s="1510"/>
      <c r="G21" s="1497"/>
      <c r="H21" s="2043"/>
      <c r="I21" s="1321" t="s">
        <v>87</v>
      </c>
      <c r="J21" s="1500"/>
      <c r="K21" s="1500"/>
      <c r="L21" s="1501"/>
    </row>
    <row r="22" spans="2:12" x14ac:dyDescent="0.3">
      <c r="B22" s="2041" t="s">
        <v>365</v>
      </c>
      <c r="C22" s="1321" t="s">
        <v>52</v>
      </c>
      <c r="D22" s="1500"/>
      <c r="E22" s="1500"/>
      <c r="F22" s="1501"/>
      <c r="G22" s="1497"/>
      <c r="H22" s="2041" t="s">
        <v>334</v>
      </c>
      <c r="I22" s="1321" t="s">
        <v>52</v>
      </c>
      <c r="J22" s="1500"/>
      <c r="K22" s="1500"/>
      <c r="L22" s="1501"/>
    </row>
    <row r="23" spans="2:12" x14ac:dyDescent="0.3">
      <c r="B23" s="2043"/>
      <c r="C23" s="1310" t="s">
        <v>311</v>
      </c>
      <c r="D23" s="1186"/>
      <c r="E23" s="1186"/>
      <c r="F23" s="1505"/>
      <c r="G23" s="1497"/>
      <c r="H23" s="2044"/>
      <c r="I23" s="1511" t="s">
        <v>334</v>
      </c>
      <c r="J23" s="1512"/>
      <c r="K23" s="1512"/>
      <c r="L23" s="1513"/>
    </row>
    <row r="24" spans="2:12" x14ac:dyDescent="0.3">
      <c r="B24" s="2041" t="s">
        <v>155</v>
      </c>
      <c r="C24" s="1321" t="s">
        <v>52</v>
      </c>
      <c r="D24" s="1500"/>
      <c r="E24" s="1500"/>
      <c r="F24" s="1501"/>
      <c r="G24" s="1497"/>
      <c r="H24" s="594"/>
      <c r="I24" s="594"/>
      <c r="J24" s="1514"/>
      <c r="K24" s="1514"/>
      <c r="L24" s="1514"/>
    </row>
    <row r="25" spans="2:12" x14ac:dyDescent="0.3">
      <c r="B25" s="2042"/>
      <c r="C25" s="1295" t="s">
        <v>117</v>
      </c>
      <c r="D25" s="1181"/>
      <c r="E25" s="1181"/>
      <c r="F25" s="1503"/>
      <c r="G25" s="1497"/>
      <c r="H25" s="2045" t="s">
        <v>348</v>
      </c>
      <c r="I25" s="1515" t="s">
        <v>52</v>
      </c>
      <c r="J25" s="1596">
        <f>SUM(J26:J28)</f>
        <v>23587786061</v>
      </c>
      <c r="K25" s="1596">
        <f t="shared" ref="K25:L25" si="1">SUM(K26:K28)</f>
        <v>16503044283</v>
      </c>
      <c r="L25" s="1597">
        <f t="shared" si="1"/>
        <v>7084741778</v>
      </c>
    </row>
    <row r="26" spans="2:12" ht="16.5" customHeight="1" x14ac:dyDescent="0.3">
      <c r="B26" s="2043"/>
      <c r="C26" s="1315" t="s">
        <v>357</v>
      </c>
      <c r="D26" s="1509"/>
      <c r="E26" s="1509"/>
      <c r="F26" s="1510"/>
      <c r="G26" s="1497"/>
      <c r="H26" s="2042"/>
      <c r="I26" s="1295" t="s">
        <v>747</v>
      </c>
      <c r="J26" s="1181">
        <f>'3-4. 수입예산 성질별 총괄표(완료)'!F50</f>
        <v>0</v>
      </c>
      <c r="K26" s="1181">
        <f>'3-4. 수입예산 성질별 총괄표(완료)'!H50</f>
        <v>0</v>
      </c>
      <c r="L26" s="1503">
        <f>J26-K26</f>
        <v>0</v>
      </c>
    </row>
    <row r="27" spans="2:12" ht="16.5" customHeight="1" x14ac:dyDescent="0.3">
      <c r="B27" s="2041" t="s">
        <v>544</v>
      </c>
      <c r="C27" s="1321" t="s">
        <v>52</v>
      </c>
      <c r="D27" s="1500"/>
      <c r="E27" s="1500"/>
      <c r="F27" s="1501"/>
      <c r="G27" s="1497"/>
      <c r="H27" s="2042"/>
      <c r="I27" s="1310" t="s">
        <v>553</v>
      </c>
      <c r="J27" s="1186">
        <f>21526805340+7224721</f>
        <v>21534030061</v>
      </c>
      <c r="K27" s="1186">
        <f>16465337963+37706320</f>
        <v>16503044283</v>
      </c>
      <c r="L27" s="1505">
        <f>J27-K27</f>
        <v>5030985778</v>
      </c>
    </row>
    <row r="28" spans="2:12" ht="17.25" customHeight="1" x14ac:dyDescent="0.3">
      <c r="B28" s="2042"/>
      <c r="C28" s="1295" t="s">
        <v>82</v>
      </c>
      <c r="D28" s="1181"/>
      <c r="E28" s="1181"/>
      <c r="F28" s="1503"/>
      <c r="G28" s="1497"/>
      <c r="H28" s="2044"/>
      <c r="I28" s="1516" t="s">
        <v>147</v>
      </c>
      <c r="J28" s="1517">
        <v>2053756000</v>
      </c>
      <c r="K28" s="1598">
        <v>0</v>
      </c>
      <c r="L28" s="1518">
        <f>J28-K28</f>
        <v>2053756000</v>
      </c>
    </row>
    <row r="29" spans="2:12" x14ac:dyDescent="0.3">
      <c r="B29" s="2042"/>
      <c r="C29" s="1310" t="s">
        <v>75</v>
      </c>
      <c r="D29" s="1186"/>
      <c r="E29" s="1186"/>
      <c r="F29" s="1505"/>
      <c r="G29" s="1497"/>
      <c r="H29" s="594"/>
      <c r="I29" s="594"/>
      <c r="J29" s="1514"/>
      <c r="K29" s="1514"/>
      <c r="L29" s="1514"/>
    </row>
    <row r="30" spans="2:12" x14ac:dyDescent="0.3">
      <c r="B30" s="2042"/>
      <c r="C30" s="1310" t="s">
        <v>120</v>
      </c>
      <c r="D30" s="1186"/>
      <c r="E30" s="1186"/>
      <c r="F30" s="1505"/>
      <c r="G30" s="1497"/>
      <c r="H30" s="1184"/>
      <c r="I30" s="1184"/>
      <c r="J30" s="1519"/>
      <c r="K30" s="1519"/>
      <c r="L30" s="1519"/>
    </row>
    <row r="31" spans="2:12" x14ac:dyDescent="0.3">
      <c r="B31" s="2042"/>
      <c r="C31" s="1310" t="s">
        <v>195</v>
      </c>
      <c r="D31" s="1186"/>
      <c r="E31" s="1186"/>
      <c r="F31" s="1505"/>
      <c r="G31" s="1497"/>
      <c r="H31" s="1184"/>
      <c r="I31" s="1184"/>
      <c r="J31" s="1519"/>
      <c r="K31" s="1519"/>
      <c r="L31" s="1519"/>
    </row>
    <row r="32" spans="2:12" x14ac:dyDescent="0.3">
      <c r="B32" s="2042"/>
      <c r="C32" s="1310" t="s">
        <v>211</v>
      </c>
      <c r="D32" s="1520"/>
      <c r="E32" s="1520"/>
      <c r="F32" s="1521"/>
      <c r="G32" s="1497"/>
      <c r="H32" s="1497"/>
      <c r="I32" s="1184"/>
      <c r="J32" s="1519"/>
      <c r="K32" s="1519"/>
      <c r="L32" s="1519"/>
    </row>
    <row r="33" spans="2:15" x14ac:dyDescent="0.3">
      <c r="B33" s="2042"/>
      <c r="C33" s="1310" t="s">
        <v>187</v>
      </c>
      <c r="D33" s="1520"/>
      <c r="E33" s="1520"/>
      <c r="F33" s="1521"/>
      <c r="G33" s="1497"/>
      <c r="H33" s="594"/>
      <c r="I33" s="1497"/>
      <c r="J33" s="1194"/>
      <c r="K33" s="1194"/>
      <c r="L33" s="1194"/>
    </row>
    <row r="34" spans="2:15" x14ac:dyDescent="0.3">
      <c r="B34" s="2044"/>
      <c r="C34" s="1516" t="s">
        <v>140</v>
      </c>
      <c r="D34" s="1522"/>
      <c r="E34" s="1522"/>
      <c r="F34" s="1523"/>
      <c r="G34" s="1497"/>
      <c r="H34" s="594"/>
      <c r="I34" s="594"/>
      <c r="J34" s="1514"/>
      <c r="K34" s="1514"/>
      <c r="L34" s="1514"/>
    </row>
    <row r="35" spans="2:15" ht="18" customHeight="1" x14ac:dyDescent="0.3">
      <c r="B35" s="1494" t="s">
        <v>740</v>
      </c>
      <c r="C35" s="1284"/>
      <c r="D35" s="1495"/>
      <c r="E35" s="1495"/>
      <c r="F35" s="1495"/>
      <c r="G35" s="1284"/>
      <c r="H35" s="1284"/>
      <c r="I35" s="1284"/>
      <c r="J35" s="1495"/>
      <c r="K35" s="1495"/>
      <c r="L35" s="1495"/>
      <c r="M35" s="1284"/>
      <c r="N35" s="1284"/>
      <c r="O35" s="1284"/>
    </row>
    <row r="36" spans="2:15" ht="15.95" customHeight="1" x14ac:dyDescent="0.3">
      <c r="B36" s="1496" t="s">
        <v>581</v>
      </c>
      <c r="C36" s="1140"/>
      <c r="D36" s="1057"/>
      <c r="E36" s="1057"/>
      <c r="F36" s="1057"/>
      <c r="G36" s="1140"/>
      <c r="H36" s="1140"/>
      <c r="I36" s="1140"/>
      <c r="J36" s="1057"/>
      <c r="K36" s="1057"/>
      <c r="L36" s="1057"/>
    </row>
    <row r="37" spans="2:15" ht="9.1999999999999993" customHeight="1" x14ac:dyDescent="0.3">
      <c r="B37" s="1140"/>
      <c r="C37" s="1140"/>
      <c r="D37" s="1057"/>
      <c r="E37" s="1057"/>
      <c r="F37" s="1057"/>
      <c r="G37" s="1140"/>
      <c r="H37" s="1140"/>
      <c r="I37" s="1140"/>
      <c r="J37" s="1057"/>
      <c r="K37" s="1057"/>
      <c r="L37" s="1057"/>
    </row>
    <row r="38" spans="2:15" x14ac:dyDescent="0.3">
      <c r="B38" s="1140"/>
      <c r="C38" s="1140"/>
      <c r="D38" s="1057"/>
      <c r="E38" s="1057"/>
      <c r="F38" s="1050" t="s">
        <v>639</v>
      </c>
      <c r="G38" s="1140"/>
      <c r="H38" s="1140"/>
      <c r="I38" s="1140"/>
      <c r="J38" s="1057"/>
      <c r="K38" s="1057"/>
      <c r="L38" s="1050" t="s">
        <v>639</v>
      </c>
    </row>
    <row r="39" spans="2:15" x14ac:dyDescent="0.3">
      <c r="B39" s="1897" t="s">
        <v>421</v>
      </c>
      <c r="C39" s="1979"/>
      <c r="D39" s="2046" t="s">
        <v>74</v>
      </c>
      <c r="E39" s="2048" t="s">
        <v>287</v>
      </c>
      <c r="F39" s="2050" t="s">
        <v>611</v>
      </c>
      <c r="G39" s="1140"/>
      <c r="H39" s="1897" t="s">
        <v>782</v>
      </c>
      <c r="I39" s="1979"/>
      <c r="J39" s="2046" t="s">
        <v>74</v>
      </c>
      <c r="K39" s="2048" t="s">
        <v>287</v>
      </c>
      <c r="L39" s="2050" t="s">
        <v>355</v>
      </c>
    </row>
    <row r="40" spans="2:15" x14ac:dyDescent="0.3">
      <c r="B40" s="1899"/>
      <c r="C40" s="2054"/>
      <c r="D40" s="2047"/>
      <c r="E40" s="2049"/>
      <c r="F40" s="2051"/>
      <c r="G40" s="1140"/>
      <c r="H40" s="1899"/>
      <c r="I40" s="2054"/>
      <c r="J40" s="2047"/>
      <c r="K40" s="2049"/>
      <c r="L40" s="2051"/>
    </row>
    <row r="41" spans="2:15" x14ac:dyDescent="0.3">
      <c r="B41" s="1986"/>
      <c r="C41" s="1988"/>
      <c r="D41" s="1524" t="s">
        <v>148</v>
      </c>
      <c r="E41" s="1524" t="s">
        <v>143</v>
      </c>
      <c r="F41" s="1525" t="s">
        <v>153</v>
      </c>
      <c r="G41" s="1140"/>
      <c r="H41" s="1986"/>
      <c r="I41" s="1988"/>
      <c r="J41" s="1524" t="s">
        <v>148</v>
      </c>
      <c r="K41" s="1524" t="s">
        <v>143</v>
      </c>
      <c r="L41" s="1525" t="s">
        <v>153</v>
      </c>
    </row>
    <row r="42" spans="2:15" x14ac:dyDescent="0.3">
      <c r="B42" s="2052" t="s">
        <v>504</v>
      </c>
      <c r="C42" s="2053"/>
      <c r="D42" s="1526">
        <f>SUM(D43,D50,D52,D55,D56,D57,D61,J42,J45,J47,J53,J55)+J59</f>
        <v>55659961468</v>
      </c>
      <c r="E42" s="1526">
        <f>SUM(E43,E50,E52,E55,E56,E57,E61,K42,K45,K47,K53,K55)+K59</f>
        <v>58369443835</v>
      </c>
      <c r="F42" s="1527">
        <f>D42-E42-1000</f>
        <v>-2709483367</v>
      </c>
      <c r="G42" s="1140"/>
      <c r="H42" s="2041" t="s">
        <v>320</v>
      </c>
      <c r="I42" s="1528" t="s">
        <v>52</v>
      </c>
      <c r="J42" s="1526">
        <f>SUM(J43:J44)</f>
        <v>155500000</v>
      </c>
      <c r="K42" s="1526">
        <f>SUM(K43:K44)</f>
        <v>99000000</v>
      </c>
      <c r="L42" s="1527">
        <f>SUM(L43:L44)</f>
        <v>56500000</v>
      </c>
    </row>
    <row r="43" spans="2:15" x14ac:dyDescent="0.3">
      <c r="B43" s="1530" t="s">
        <v>301</v>
      </c>
      <c r="C43" s="1528" t="s">
        <v>52</v>
      </c>
      <c r="D43" s="1526">
        <f>SUM(D44:D49)</f>
        <v>26426013407</v>
      </c>
      <c r="E43" s="1526">
        <f>SUM(E44:E49)</f>
        <v>29853197552</v>
      </c>
      <c r="F43" s="1527">
        <f>SUM(F44:F49)</f>
        <v>-3427184145</v>
      </c>
      <c r="G43" s="1140"/>
      <c r="H43" s="2042"/>
      <c r="I43" s="1233" t="s">
        <v>99</v>
      </c>
      <c r="J43" s="1532">
        <f>'3-3.자본예산총괄표(완료)'!G15</f>
        <v>95500000</v>
      </c>
      <c r="K43" s="1532">
        <f>'3-5.지출예산 성질별총괄표(완료)'!H70</f>
        <v>99000000</v>
      </c>
      <c r="L43" s="1281">
        <f>J43-K43</f>
        <v>-3500000</v>
      </c>
    </row>
    <row r="44" spans="2:15" x14ac:dyDescent="0.3">
      <c r="B44" s="1251"/>
      <c r="C44" s="1233" t="s">
        <v>585</v>
      </c>
      <c r="D44" s="1532">
        <f>'3-2.사업예산총괄표(완료)'!G6</f>
        <v>12421870913</v>
      </c>
      <c r="E44" s="1532">
        <f>'3-5.지출예산 성질별총괄표(완료)'!H8+'3-5.지출예산 성질별총괄표(완료)'!H11+'3-5.지출예산 성질별총괄표(완료)'!H26+'3-5.지출예산 성질별총괄표(완료)'!H47</f>
        <v>14147890052</v>
      </c>
      <c r="F44" s="1281">
        <f>D44-E44</f>
        <v>-1726019139</v>
      </c>
      <c r="G44" s="1140"/>
      <c r="H44" s="2043"/>
      <c r="I44" s="1274" t="s">
        <v>363</v>
      </c>
      <c r="J44" s="1277">
        <f>'3-3.자본예산총괄표(완료)'!G16</f>
        <v>60000000</v>
      </c>
      <c r="K44" s="1277">
        <f>'3-5.지출예산 성질별총괄표(완료)'!H72</f>
        <v>0</v>
      </c>
      <c r="L44" s="1270">
        <f>J44-K44</f>
        <v>60000000</v>
      </c>
      <c r="N44" s="1607">
        <f>'3-5.지출예산 성질별총괄표(완료)'!H7</f>
        <v>29853197552</v>
      </c>
    </row>
    <row r="45" spans="2:15" x14ac:dyDescent="0.3">
      <c r="B45" s="1251"/>
      <c r="C45" s="1310" t="s">
        <v>139</v>
      </c>
      <c r="D45" s="1186">
        <f>'3-2.사업예산총괄표(완료)'!G7</f>
        <v>10199180494</v>
      </c>
      <c r="E45" s="1186">
        <f>N46</f>
        <v>11360412000</v>
      </c>
      <c r="F45" s="1505">
        <f>D45-E45</f>
        <v>-1161231506</v>
      </c>
      <c r="G45" s="1140"/>
      <c r="H45" s="2041" t="s">
        <v>362</v>
      </c>
      <c r="I45" s="1528" t="s">
        <v>52</v>
      </c>
      <c r="J45" s="1533"/>
      <c r="K45" s="1529"/>
      <c r="L45" s="1527"/>
      <c r="N45" s="1059">
        <f>E44+E46+E47+E48</f>
        <v>18492785552</v>
      </c>
    </row>
    <row r="46" spans="2:15" x14ac:dyDescent="0.3">
      <c r="B46" s="1251"/>
      <c r="C46" s="1310" t="s">
        <v>126</v>
      </c>
      <c r="D46" s="1186">
        <f>'3-2.사업예산총괄표(완료)'!G8</f>
        <v>1097405000</v>
      </c>
      <c r="E46" s="1186">
        <f>'3-5.지출예산 성질별총괄표(완료)'!H40</f>
        <v>1176999500</v>
      </c>
      <c r="F46" s="1505">
        <f>D46-E46</f>
        <v>-79594500</v>
      </c>
      <c r="G46" s="1140"/>
      <c r="H46" s="2043"/>
      <c r="I46" s="1233" t="s">
        <v>86</v>
      </c>
      <c r="J46" s="1534"/>
      <c r="K46" s="1531"/>
      <c r="L46" s="1281"/>
      <c r="N46" s="1059">
        <f>N44-N45</f>
        <v>11360412000</v>
      </c>
    </row>
    <row r="47" spans="2:15" x14ac:dyDescent="0.3">
      <c r="B47" s="1507"/>
      <c r="C47" s="1310" t="s">
        <v>68</v>
      </c>
      <c r="D47" s="1186">
        <f>'3-2.사업예산총괄표(완료)'!G9</f>
        <v>129250000</v>
      </c>
      <c r="E47" s="1186">
        <f>'3-5.지출예산 성질별총괄표(완료)'!H45</f>
        <v>90000000</v>
      </c>
      <c r="F47" s="1505">
        <f>D47-E47</f>
        <v>39250000</v>
      </c>
      <c r="G47" s="1140"/>
      <c r="H47" s="2041" t="s">
        <v>359</v>
      </c>
      <c r="I47" s="1528" t="s">
        <v>52</v>
      </c>
      <c r="J47" s="1533"/>
      <c r="K47" s="1529"/>
      <c r="L47" s="1527"/>
    </row>
    <row r="48" spans="2:15" x14ac:dyDescent="0.3">
      <c r="B48" s="1251"/>
      <c r="C48" s="1595" t="s">
        <v>461</v>
      </c>
      <c r="D48" s="1186">
        <f>'3-2.사업예산총괄표(완료)'!G10</f>
        <v>2578307000</v>
      </c>
      <c r="E48" s="1186">
        <f>'3-5.지출예산 성질별총괄표(완료)'!H49+'3-5.지출예산 성질별총괄표(완료)'!H51</f>
        <v>3077896000</v>
      </c>
      <c r="F48" s="1505">
        <f>D48-E48</f>
        <v>-499589000</v>
      </c>
      <c r="G48" s="1140"/>
      <c r="H48" s="2042"/>
      <c r="I48" s="1233" t="s">
        <v>330</v>
      </c>
      <c r="J48" s="1534"/>
      <c r="K48" s="1531"/>
      <c r="L48" s="1281"/>
    </row>
    <row r="49" spans="2:12" x14ac:dyDescent="0.3">
      <c r="B49" s="1251"/>
      <c r="C49" s="1237"/>
      <c r="D49" s="1207"/>
      <c r="E49" s="1207"/>
      <c r="F49" s="1209"/>
      <c r="G49" s="1140"/>
      <c r="H49" s="2042"/>
      <c r="I49" s="1237" t="s">
        <v>610</v>
      </c>
      <c r="J49" s="1535"/>
      <c r="K49" s="1536"/>
      <c r="L49" s="1209"/>
    </row>
    <row r="50" spans="2:12" x14ac:dyDescent="0.3">
      <c r="B50" s="1537" t="s">
        <v>327</v>
      </c>
      <c r="C50" s="1528" t="s">
        <v>52</v>
      </c>
      <c r="D50" s="1526">
        <f>D51</f>
        <v>0</v>
      </c>
      <c r="E50" s="1526">
        <f>E51</f>
        <v>7500000</v>
      </c>
      <c r="F50" s="1527">
        <f>D50-E50</f>
        <v>-7500000</v>
      </c>
      <c r="G50" s="1140"/>
      <c r="H50" s="2042"/>
      <c r="I50" s="1237" t="s">
        <v>319</v>
      </c>
      <c r="J50" s="1535"/>
      <c r="K50" s="1536"/>
      <c r="L50" s="1209"/>
    </row>
    <row r="51" spans="2:12" x14ac:dyDescent="0.3">
      <c r="B51" s="1251"/>
      <c r="C51" s="1315" t="s">
        <v>329</v>
      </c>
      <c r="D51" s="1509">
        <f>'3-5.지출예산 성질별총괄표(완료)'!F52</f>
        <v>0</v>
      </c>
      <c r="E51" s="1509">
        <f>'3-5.지출예산 성질별총괄표(완료)'!H52</f>
        <v>7500000</v>
      </c>
      <c r="F51" s="1505">
        <f>D51-E51</f>
        <v>-7500000</v>
      </c>
      <c r="G51" s="1140"/>
      <c r="H51" s="2042"/>
      <c r="I51" s="1237" t="s">
        <v>579</v>
      </c>
      <c r="J51" s="1535"/>
      <c r="K51" s="1536"/>
      <c r="L51" s="1209"/>
    </row>
    <row r="52" spans="2:12" x14ac:dyDescent="0.3">
      <c r="B52" s="2041" t="s">
        <v>326</v>
      </c>
      <c r="C52" s="1528" t="s">
        <v>52</v>
      </c>
      <c r="D52" s="1526"/>
      <c r="E52" s="1526"/>
      <c r="F52" s="1527"/>
      <c r="G52" s="1140"/>
      <c r="H52" s="2043"/>
      <c r="I52" s="1237" t="s">
        <v>132</v>
      </c>
      <c r="J52" s="1535"/>
      <c r="K52" s="1536"/>
      <c r="L52" s="1209"/>
    </row>
    <row r="53" spans="2:12" x14ac:dyDescent="0.3">
      <c r="B53" s="2042"/>
      <c r="C53" s="1233" t="s">
        <v>567</v>
      </c>
      <c r="D53" s="1532"/>
      <c r="E53" s="1532"/>
      <c r="F53" s="1281"/>
      <c r="G53" s="1140"/>
      <c r="H53" s="2041" t="s">
        <v>339</v>
      </c>
      <c r="I53" s="1528" t="s">
        <v>52</v>
      </c>
      <c r="J53" s="1526">
        <f>J54</f>
        <v>2000000</v>
      </c>
      <c r="K53" s="1526">
        <f>K54</f>
        <v>0</v>
      </c>
      <c r="L53" s="1527">
        <f>L54</f>
        <v>2000000</v>
      </c>
    </row>
    <row r="54" spans="2:12" x14ac:dyDescent="0.3">
      <c r="B54" s="2043"/>
      <c r="C54" s="1237"/>
      <c r="D54" s="1207"/>
      <c r="E54" s="1207"/>
      <c r="F54" s="1209"/>
      <c r="G54" s="1140"/>
      <c r="H54" s="2043"/>
      <c r="I54" s="1274" t="s">
        <v>358</v>
      </c>
      <c r="J54" s="1602">
        <f>'3-3.자본예산총괄표(완료)'!G25</f>
        <v>2000000</v>
      </c>
      <c r="K54" s="1602">
        <f>'3-5.지출예산 성질별총괄표(완료)'!H74</f>
        <v>0</v>
      </c>
      <c r="L54" s="1603">
        <f>J54-K54</f>
        <v>2000000</v>
      </c>
    </row>
    <row r="55" spans="2:12" x14ac:dyDescent="0.3">
      <c r="B55" s="1538" t="s">
        <v>317</v>
      </c>
      <c r="C55" s="1528" t="s">
        <v>573</v>
      </c>
      <c r="D55" s="1526"/>
      <c r="E55" s="1526"/>
      <c r="F55" s="1527"/>
      <c r="G55" s="1140"/>
      <c r="H55" s="2041" t="s">
        <v>281</v>
      </c>
      <c r="I55" s="1274" t="s">
        <v>52</v>
      </c>
      <c r="J55" s="1602">
        <f>SUM(J56:J57)</f>
        <v>0</v>
      </c>
      <c r="K55" s="1602">
        <f t="shared" ref="K55:L55" si="2">SUM(K56:K57)</f>
        <v>0</v>
      </c>
      <c r="L55" s="1603">
        <f t="shared" si="2"/>
        <v>0</v>
      </c>
    </row>
    <row r="56" spans="2:12" x14ac:dyDescent="0.3">
      <c r="B56" s="1254" t="s">
        <v>93</v>
      </c>
      <c r="C56" s="1233" t="s">
        <v>93</v>
      </c>
      <c r="D56" s="1532">
        <f>'3-5.지출예산 성질별총괄표(완료)'!F75</f>
        <v>0</v>
      </c>
      <c r="E56" s="1532">
        <f>'3-5.지출예산 성질별총괄표(완료)'!H75</f>
        <v>404152000</v>
      </c>
      <c r="F56" s="1281">
        <f>D56-E56</f>
        <v>-404152000</v>
      </c>
      <c r="G56" s="1140"/>
      <c r="H56" s="2042"/>
      <c r="I56" s="1233" t="s">
        <v>337</v>
      </c>
      <c r="J56" s="1604">
        <f>'[1]3-5.지출예산 성질별총괄표'!F90</f>
        <v>0</v>
      </c>
      <c r="K56" s="1604">
        <f>'[1]3-5.지출예산 성질별총괄표'!H90</f>
        <v>0</v>
      </c>
      <c r="L56" s="1605">
        <f>J56-K56</f>
        <v>0</v>
      </c>
    </row>
    <row r="57" spans="2:12" x14ac:dyDescent="0.3">
      <c r="B57" s="2041" t="s">
        <v>131</v>
      </c>
      <c r="C57" s="1528" t="s">
        <v>52</v>
      </c>
      <c r="D57" s="1526"/>
      <c r="E57" s="1526"/>
      <c r="F57" s="1527"/>
      <c r="G57" s="1140"/>
      <c r="H57" s="2044"/>
      <c r="I57" s="1539" t="s">
        <v>281</v>
      </c>
      <c r="J57" s="1601">
        <f>'[1]3-5.지출예산 성질별총괄표'!F91</f>
        <v>0</v>
      </c>
      <c r="K57" s="1601">
        <f>'[1]3-5.지출예산 성질별총괄표'!H91</f>
        <v>0</v>
      </c>
      <c r="L57" s="1606">
        <f>J57-K57</f>
        <v>0</v>
      </c>
    </row>
    <row r="58" spans="2:12" x14ac:dyDescent="0.3">
      <c r="B58" s="2042"/>
      <c r="C58" s="1233" t="s">
        <v>535</v>
      </c>
      <c r="D58" s="1532"/>
      <c r="E58" s="1532"/>
      <c r="F58" s="1281"/>
      <c r="G58" s="1140"/>
      <c r="H58" s="594"/>
      <c r="I58" s="594"/>
      <c r="J58" s="1514"/>
      <c r="K58" s="1514"/>
      <c r="L58" s="1514"/>
    </row>
    <row r="59" spans="2:12" x14ac:dyDescent="0.3">
      <c r="B59" s="2042"/>
      <c r="C59" s="1237"/>
      <c r="D59" s="1207"/>
      <c r="E59" s="1207"/>
      <c r="F59" s="1209"/>
      <c r="G59" s="1140"/>
      <c r="H59" s="2045" t="s">
        <v>341</v>
      </c>
      <c r="I59" s="1540" t="s">
        <v>52</v>
      </c>
      <c r="J59" s="1599">
        <f>SUM(J60:J63)</f>
        <v>23587786061</v>
      </c>
      <c r="K59" s="1599">
        <f>SUM(K60:K63)</f>
        <v>16503044283</v>
      </c>
      <c r="L59" s="1600">
        <f>SUM(L60:L63)</f>
        <v>7084741778</v>
      </c>
    </row>
    <row r="60" spans="2:12" ht="16.5" customHeight="1" x14ac:dyDescent="0.3">
      <c r="B60" s="2043"/>
      <c r="C60" s="1274"/>
      <c r="D60" s="1277"/>
      <c r="E60" s="1277"/>
      <c r="F60" s="1270"/>
      <c r="G60" s="1140"/>
      <c r="H60" s="2042"/>
      <c r="I60" s="1233" t="s">
        <v>162</v>
      </c>
      <c r="J60" s="1532">
        <v>7224721</v>
      </c>
      <c r="K60" s="1532">
        <v>37706320</v>
      </c>
      <c r="L60" s="1281">
        <f>J60-K60</f>
        <v>-30481599</v>
      </c>
    </row>
    <row r="61" spans="2:12" ht="16.5" customHeight="1" x14ac:dyDescent="0.3">
      <c r="B61" s="2041" t="s">
        <v>322</v>
      </c>
      <c r="C61" s="1541" t="s">
        <v>52</v>
      </c>
      <c r="D61" s="1526">
        <f>SUM(D62:D68)</f>
        <v>5488662000</v>
      </c>
      <c r="E61" s="1526">
        <f>SUM(E62:E68)</f>
        <v>11502550000</v>
      </c>
      <c r="F61" s="1527">
        <f>SUM(F62:F68)</f>
        <v>-6013888000</v>
      </c>
      <c r="G61" s="1140"/>
      <c r="H61" s="2042"/>
      <c r="I61" s="1237" t="s">
        <v>172</v>
      </c>
      <c r="J61" s="1207"/>
      <c r="K61" s="1207"/>
      <c r="L61" s="1209"/>
    </row>
    <row r="62" spans="2:12" ht="16.5" customHeight="1" x14ac:dyDescent="0.3">
      <c r="B62" s="2042"/>
      <c r="C62" s="1233" t="s">
        <v>82</v>
      </c>
      <c r="D62" s="1542"/>
      <c r="E62" s="1542"/>
      <c r="F62" s="1543"/>
      <c r="G62" s="1140"/>
      <c r="H62" s="2042"/>
      <c r="I62" s="1237" t="s">
        <v>64</v>
      </c>
      <c r="J62" s="1207">
        <f>J27-J60</f>
        <v>21526805340</v>
      </c>
      <c r="K62" s="1207">
        <f>K27-K60</f>
        <v>16465337963</v>
      </c>
      <c r="L62" s="1209">
        <f>J62-K62</f>
        <v>5061467377</v>
      </c>
    </row>
    <row r="63" spans="2:12" ht="17.25" customHeight="1" x14ac:dyDescent="0.3">
      <c r="B63" s="2042"/>
      <c r="C63" s="1237" t="s">
        <v>75</v>
      </c>
      <c r="D63" s="1544">
        <f>'3-3.자본예산총괄표(완료)'!G9</f>
        <v>3129212000</v>
      </c>
      <c r="E63" s="1544">
        <f>'3-5.지출예산 성질별총괄표(완료)'!H61</f>
        <v>6105000000</v>
      </c>
      <c r="F63" s="1545">
        <f t="shared" ref="F63:F67" si="3">D63-E63</f>
        <v>-2975788000</v>
      </c>
      <c r="G63" s="1140"/>
      <c r="H63" s="2044"/>
      <c r="I63" s="1539" t="s">
        <v>170</v>
      </c>
      <c r="J63" s="1601">
        <v>2053756000</v>
      </c>
      <c r="K63" s="1546">
        <v>0</v>
      </c>
      <c r="L63" s="1219">
        <f>J63-K63</f>
        <v>2053756000</v>
      </c>
    </row>
    <row r="64" spans="2:12" x14ac:dyDescent="0.3">
      <c r="B64" s="2042"/>
      <c r="C64" s="1237" t="s">
        <v>120</v>
      </c>
      <c r="D64" s="1544"/>
      <c r="E64" s="1544"/>
      <c r="F64" s="1545"/>
      <c r="G64" s="1140"/>
      <c r="H64" s="594"/>
      <c r="I64" s="594"/>
      <c r="J64" s="1514"/>
      <c r="K64" s="1514"/>
      <c r="L64" s="1514"/>
    </row>
    <row r="65" spans="2:12" x14ac:dyDescent="0.3">
      <c r="B65" s="2042"/>
      <c r="C65" s="1237" t="s">
        <v>195</v>
      </c>
      <c r="D65" s="1544">
        <f>'3-3.자본예산총괄표(완료)'!G11</f>
        <v>2150450000</v>
      </c>
      <c r="E65" s="1544">
        <v>5338450000</v>
      </c>
      <c r="F65" s="1545">
        <f t="shared" si="3"/>
        <v>-3188000000</v>
      </c>
      <c r="G65" s="1140"/>
      <c r="H65" s="594"/>
      <c r="I65" s="594"/>
      <c r="J65" s="1514"/>
      <c r="K65" s="1514"/>
      <c r="L65" s="1514"/>
    </row>
    <row r="66" spans="2:12" x14ac:dyDescent="0.3">
      <c r="B66" s="2042"/>
      <c r="C66" s="1237" t="s">
        <v>211</v>
      </c>
      <c r="D66" s="1544">
        <f>'3-3.자본예산총괄표(완료)'!G12</f>
        <v>50000000</v>
      </c>
      <c r="E66" s="1544">
        <v>0</v>
      </c>
      <c r="F66" s="1545">
        <f t="shared" si="3"/>
        <v>50000000</v>
      </c>
      <c r="G66" s="1140"/>
    </row>
    <row r="67" spans="2:12" x14ac:dyDescent="0.3">
      <c r="B67" s="2042"/>
      <c r="C67" s="1237" t="s">
        <v>187</v>
      </c>
      <c r="D67" s="1544">
        <f>'3-3.자본예산총괄표(완료)'!G13</f>
        <v>159000000</v>
      </c>
      <c r="E67" s="1544">
        <v>59100000</v>
      </c>
      <c r="F67" s="1258">
        <f t="shared" si="3"/>
        <v>99900000</v>
      </c>
      <c r="G67" s="1140"/>
    </row>
    <row r="68" spans="2:12" x14ac:dyDescent="0.3">
      <c r="B68" s="2044"/>
      <c r="C68" s="1539" t="s">
        <v>140</v>
      </c>
      <c r="D68" s="1547"/>
      <c r="E68" s="1547"/>
      <c r="F68" s="1548"/>
      <c r="G68" s="1140"/>
    </row>
  </sheetData>
  <mergeCells count="37">
    <mergeCell ref="K4:K5"/>
    <mergeCell ref="L4:L5"/>
    <mergeCell ref="B7:C7"/>
    <mergeCell ref="H7:H10"/>
    <mergeCell ref="B8:B16"/>
    <mergeCell ref="H16:H19"/>
    <mergeCell ref="B17:B21"/>
    <mergeCell ref="H20:H21"/>
    <mergeCell ref="B4:C6"/>
    <mergeCell ref="D4:D5"/>
    <mergeCell ref="E4:E5"/>
    <mergeCell ref="F4:F5"/>
    <mergeCell ref="H4:I6"/>
    <mergeCell ref="J4:J5"/>
    <mergeCell ref="H45:H46"/>
    <mergeCell ref="B22:B23"/>
    <mergeCell ref="H22:H23"/>
    <mergeCell ref="B24:B26"/>
    <mergeCell ref="H25:H28"/>
    <mergeCell ref="B27:B34"/>
    <mergeCell ref="B39:C41"/>
    <mergeCell ref="D39:D40"/>
    <mergeCell ref="E39:E40"/>
    <mergeCell ref="F39:F40"/>
    <mergeCell ref="H39:I41"/>
    <mergeCell ref="J39:J40"/>
    <mergeCell ref="K39:K40"/>
    <mergeCell ref="L39:L40"/>
    <mergeCell ref="B42:C42"/>
    <mergeCell ref="H42:H44"/>
    <mergeCell ref="H47:H52"/>
    <mergeCell ref="B52:B54"/>
    <mergeCell ref="H53:H54"/>
    <mergeCell ref="H55:H57"/>
    <mergeCell ref="B57:B60"/>
    <mergeCell ref="H59:H63"/>
    <mergeCell ref="B61:B68"/>
  </mergeCells>
  <phoneticPr fontId="53" type="noConversion"/>
  <printOptions horizontalCentered="1"/>
  <pageMargins left="0.27541667222976685" right="0.27541667222976685" top="0.74750000238418579" bottom="0.59041666984558105" header="0.43291667103767395" footer="0.31486111879348755"/>
  <pageSetup paperSize="9" fitToHeight="0" orientation="landscape" r:id="rId1"/>
  <rowBreaks count="1" manualBreakCount="1">
    <brk id="34" max="1048575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FFFFFF"/>
    <pageSetUpPr fitToPage="1"/>
  </sheetPr>
  <dimension ref="B16:S16"/>
  <sheetViews>
    <sheetView showGridLines="0" view="pageBreakPreview" zoomScale="75" zoomScaleNormal="100" zoomScaleSheetLayoutView="75" workbookViewId="0">
      <selection activeCell="Q43" sqref="Q43"/>
    </sheetView>
  </sheetViews>
  <sheetFormatPr defaultColWidth="9" defaultRowHeight="13.5" x14ac:dyDescent="0.3"/>
  <cols>
    <col min="1" max="1" width="0.125" style="1025" customWidth="1"/>
    <col min="2" max="2" width="8" style="1025" customWidth="1"/>
    <col min="3" max="3" width="6.75" style="1025" customWidth="1"/>
    <col min="4" max="4" width="6.25" style="1025" customWidth="1"/>
    <col min="5" max="5" width="12.75" style="1025" customWidth="1"/>
    <col min="6" max="6" width="11.5" style="1025" customWidth="1"/>
    <col min="7" max="7" width="13" style="1025" bestFit="1" customWidth="1"/>
    <col min="8" max="8" width="10.75" style="1025" customWidth="1"/>
    <col min="9" max="9" width="2.25" style="1025" customWidth="1"/>
    <col min="10" max="10" width="10.75" style="1025" customWidth="1"/>
    <col min="11" max="11" width="8.25" style="1025" customWidth="1"/>
    <col min="12" max="12" width="2.125" style="1025" customWidth="1"/>
    <col min="13" max="13" width="5.25" style="1025" customWidth="1"/>
    <col min="14" max="14" width="2" style="1025" customWidth="1"/>
    <col min="15" max="15" width="4.5" style="1025" customWidth="1"/>
    <col min="16" max="16" width="2.75" style="1025" customWidth="1"/>
    <col min="17" max="17" width="10.75" style="1025" customWidth="1"/>
    <col min="18" max="18" width="11.5" style="1025" customWidth="1"/>
    <col min="19" max="19" width="0.75" style="1025" customWidth="1"/>
    <col min="20" max="22" width="8.75" style="1025" customWidth="1"/>
    <col min="23" max="16384" width="9" style="1025"/>
  </cols>
  <sheetData>
    <row r="16" spans="2:19" ht="33.75" x14ac:dyDescent="0.3">
      <c r="B16" s="1872" t="s">
        <v>501</v>
      </c>
      <c r="C16" s="1872"/>
      <c r="D16" s="1872"/>
      <c r="E16" s="1872"/>
      <c r="F16" s="1872"/>
      <c r="G16" s="1872"/>
      <c r="H16" s="1872"/>
      <c r="I16" s="1872"/>
      <c r="J16" s="1872"/>
      <c r="K16" s="1872"/>
      <c r="L16" s="1872"/>
      <c r="M16" s="1872"/>
      <c r="N16" s="1872"/>
      <c r="O16" s="1872"/>
      <c r="P16" s="1872"/>
      <c r="Q16" s="1872"/>
      <c r="R16" s="1872"/>
      <c r="S16" s="1872"/>
    </row>
  </sheetData>
  <mergeCells count="1">
    <mergeCell ref="B16:S16"/>
  </mergeCells>
  <phoneticPr fontId="53" type="noConversion"/>
  <pageMargins left="0.27541667222976685" right="0.27541667222976685" top="0.74750000238418579" bottom="0.59041666984558105" header="0.43291667103767395" footer="0.31486111879348755"/>
  <pageSetup paperSize="9" fitToHeight="0" orientation="landscape" r:id="rId1"/>
  <headerFooter>
    <oddFooter>&amp;C&amp;"맑은 고딕,Regular"페이지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FFFFFF"/>
    <pageSetUpPr fitToPage="1"/>
  </sheetPr>
  <dimension ref="B1:J12"/>
  <sheetViews>
    <sheetView view="pageBreakPreview" zoomScale="115" zoomScaleNormal="100" zoomScaleSheetLayoutView="115" workbookViewId="0">
      <selection activeCell="A4" sqref="A3:XFD4"/>
    </sheetView>
  </sheetViews>
  <sheetFormatPr defaultColWidth="9" defaultRowHeight="13.5" x14ac:dyDescent="0.3"/>
  <cols>
    <col min="1" max="1" width="1.125" style="1025" customWidth="1"/>
    <col min="2" max="7" width="20.625" style="1025" customWidth="1"/>
    <col min="8" max="16384" width="9" style="1025"/>
  </cols>
  <sheetData>
    <row r="1" spans="2:10" ht="24.75" customHeight="1" x14ac:dyDescent="0.3">
      <c r="B1" s="1549" t="s">
        <v>398</v>
      </c>
      <c r="C1" s="1550"/>
      <c r="D1" s="1497"/>
      <c r="E1" s="1497"/>
      <c r="F1" s="1497"/>
      <c r="G1" s="1405" t="s">
        <v>639</v>
      </c>
    </row>
    <row r="2" spans="2:10" ht="25.5" customHeight="1" x14ac:dyDescent="0.3">
      <c r="B2" s="2063" t="s">
        <v>97</v>
      </c>
      <c r="C2" s="1893" t="s">
        <v>353</v>
      </c>
      <c r="D2" s="1893" t="s">
        <v>559</v>
      </c>
      <c r="E2" s="1893"/>
      <c r="F2" s="1893"/>
      <c r="G2" s="2065" t="s">
        <v>541</v>
      </c>
    </row>
    <row r="3" spans="2:10" ht="15.75" customHeight="1" x14ac:dyDescent="0.3">
      <c r="B3" s="2064"/>
      <c r="C3" s="1894"/>
      <c r="D3" s="2067" t="s">
        <v>127</v>
      </c>
      <c r="E3" s="1894" t="s">
        <v>175</v>
      </c>
      <c r="F3" s="1894" t="s">
        <v>88</v>
      </c>
      <c r="G3" s="2066"/>
      <c r="J3" s="1551"/>
    </row>
    <row r="4" spans="2:10" ht="15.75" customHeight="1" x14ac:dyDescent="0.3">
      <c r="B4" s="2064"/>
      <c r="C4" s="1894"/>
      <c r="D4" s="1892"/>
      <c r="E4" s="1894"/>
      <c r="F4" s="1894"/>
      <c r="G4" s="2066"/>
      <c r="J4" s="1551"/>
    </row>
    <row r="5" spans="2:10" ht="36" customHeight="1" x14ac:dyDescent="0.3">
      <c r="B5" s="1552" t="s">
        <v>52</v>
      </c>
      <c r="C5" s="1553">
        <f>SUM(C6:C7)</f>
        <v>162</v>
      </c>
      <c r="D5" s="1554">
        <f>'3-5.지출예산 성질별총괄표(완료)'!H9</f>
        <v>11015063892</v>
      </c>
      <c r="E5" s="1554">
        <v>10243150052</v>
      </c>
      <c r="F5" s="1554">
        <f>SUM(F6:F7)</f>
        <v>-771913840</v>
      </c>
      <c r="G5" s="1555">
        <f>E5/C5</f>
        <v>63229321.308641978</v>
      </c>
      <c r="J5" s="1551"/>
    </row>
    <row r="6" spans="2:10" ht="36" customHeight="1" x14ac:dyDescent="0.3">
      <c r="B6" s="1556" t="s">
        <v>576</v>
      </c>
      <c r="C6" s="1557">
        <v>1</v>
      </c>
      <c r="D6" s="1558">
        <v>121240000</v>
      </c>
      <c r="E6" s="1558">
        <v>121240000</v>
      </c>
      <c r="F6" s="1558">
        <f>E6-D6</f>
        <v>0</v>
      </c>
      <c r="G6" s="1559">
        <f>E6/C6</f>
        <v>121240000</v>
      </c>
      <c r="J6" s="1551"/>
    </row>
    <row r="7" spans="2:10" ht="36" customHeight="1" x14ac:dyDescent="0.3">
      <c r="B7" s="1560" t="s">
        <v>486</v>
      </c>
      <c r="C7" s="1561">
        <v>161</v>
      </c>
      <c r="D7" s="1562">
        <f>D5-D6</f>
        <v>10893823892</v>
      </c>
      <c r="E7" s="1562">
        <f>E5-E6</f>
        <v>10121910052</v>
      </c>
      <c r="F7" s="1562">
        <f>E7-D7</f>
        <v>-771913840</v>
      </c>
      <c r="G7" s="1563">
        <f>E7/C7</f>
        <v>62869006.534161493</v>
      </c>
      <c r="J7" s="1551"/>
    </row>
    <row r="8" spans="2:10" ht="10.15" customHeight="1" x14ac:dyDescent="0.3">
      <c r="B8" s="1564"/>
      <c r="C8" s="1564"/>
      <c r="D8" s="1564"/>
      <c r="E8" s="1564"/>
      <c r="F8" s="1564"/>
      <c r="G8" s="1564"/>
      <c r="I8" s="1025" t="s">
        <v>0</v>
      </c>
    </row>
    <row r="9" spans="2:10" ht="16.5" x14ac:dyDescent="0.3">
      <c r="B9" s="1248" t="s">
        <v>767</v>
      </c>
      <c r="I9" s="1025" t="s">
        <v>37</v>
      </c>
    </row>
    <row r="12" spans="2:10" ht="16.5" x14ac:dyDescent="0.3">
      <c r="F12" s="1252"/>
    </row>
  </sheetData>
  <mergeCells count="7">
    <mergeCell ref="B2:B4"/>
    <mergeCell ref="C2:C4"/>
    <mergeCell ref="D2:F2"/>
    <mergeCell ref="G2:G4"/>
    <mergeCell ref="D3:D4"/>
    <mergeCell ref="E3:E4"/>
    <mergeCell ref="F3:F4"/>
  </mergeCells>
  <phoneticPr fontId="53" type="noConversion"/>
  <printOptions horizontalCentered="1"/>
  <pageMargins left="0.27541667222976685" right="0.27541667222976685" top="0.74750000238418579" bottom="0.59041666984558105" header="0.43291667103767395" footer="0.31486111879348755"/>
  <pageSetup paperSize="9" fitToHeight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FFFFFF"/>
    <pageSetUpPr fitToPage="1"/>
  </sheetPr>
  <dimension ref="A1:R7"/>
  <sheetViews>
    <sheetView view="pageBreakPreview" zoomScale="60" zoomScaleNormal="130" workbookViewId="0">
      <selection activeCell="M5" sqref="M5"/>
    </sheetView>
  </sheetViews>
  <sheetFormatPr defaultColWidth="9" defaultRowHeight="13.5" x14ac:dyDescent="0.3"/>
  <cols>
    <col min="1" max="1" width="11" style="3" customWidth="1"/>
    <col min="2" max="2" width="9.25" style="3" customWidth="1"/>
    <col min="3" max="3" width="16.75" style="3" customWidth="1"/>
    <col min="4" max="4" width="8.125" style="3" customWidth="1"/>
    <col min="5" max="5" width="29" style="3" customWidth="1"/>
    <col min="6" max="6" width="8" style="3" customWidth="1"/>
    <col min="7" max="11" width="7.25" style="3" customWidth="1"/>
    <col min="12" max="12" width="8.125" style="3" customWidth="1"/>
    <col min="13" max="13" width="7.25" style="3" customWidth="1"/>
    <col min="14" max="14" width="6.875" style="3" customWidth="1"/>
    <col min="15" max="15" width="8" style="3" customWidth="1"/>
    <col min="16" max="16" width="6.375" style="3" customWidth="1"/>
    <col min="17" max="17" width="9.125" style="3" customWidth="1"/>
    <col min="18" max="16384" width="9" style="3"/>
  </cols>
  <sheetData>
    <row r="1" spans="1:18" x14ac:dyDescent="0.3">
      <c r="A1" s="297" t="s">
        <v>436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4" t="s">
        <v>639</v>
      </c>
    </row>
    <row r="2" spans="1:18" x14ac:dyDescent="0.3">
      <c r="A2" s="2076" t="s">
        <v>114</v>
      </c>
      <c r="B2" s="2072" t="s">
        <v>238</v>
      </c>
      <c r="C2" s="2072" t="s">
        <v>56</v>
      </c>
      <c r="D2" s="2072" t="s">
        <v>97</v>
      </c>
      <c r="E2" s="2072" t="s">
        <v>137</v>
      </c>
      <c r="F2" s="2072" t="s">
        <v>265</v>
      </c>
      <c r="G2" s="2072" t="s">
        <v>516</v>
      </c>
      <c r="H2" s="2072"/>
      <c r="I2" s="2072"/>
      <c r="J2" s="2072"/>
      <c r="K2" s="2072"/>
      <c r="L2" s="2072"/>
      <c r="M2" s="2072"/>
      <c r="N2" s="2072"/>
      <c r="O2" s="2072"/>
      <c r="P2" s="2073" t="s">
        <v>95</v>
      </c>
    </row>
    <row r="3" spans="1:18" x14ac:dyDescent="0.3">
      <c r="A3" s="2077"/>
      <c r="B3" s="2075"/>
      <c r="C3" s="2075"/>
      <c r="D3" s="2075"/>
      <c r="E3" s="2075"/>
      <c r="F3" s="2075"/>
      <c r="G3" s="2075" t="s">
        <v>269</v>
      </c>
      <c r="H3" s="2075"/>
      <c r="I3" s="2075"/>
      <c r="J3" s="2075" t="s">
        <v>127</v>
      </c>
      <c r="K3" s="2075"/>
      <c r="L3" s="2075"/>
      <c r="M3" s="2075" t="s">
        <v>299</v>
      </c>
      <c r="N3" s="2075" t="s">
        <v>272</v>
      </c>
      <c r="O3" s="2075" t="s">
        <v>629</v>
      </c>
      <c r="P3" s="2074"/>
    </row>
    <row r="4" spans="1:18" ht="22.5" x14ac:dyDescent="0.3">
      <c r="A4" s="2077"/>
      <c r="B4" s="2075"/>
      <c r="C4" s="2075"/>
      <c r="D4" s="2075"/>
      <c r="E4" s="2075"/>
      <c r="F4" s="2075"/>
      <c r="G4" s="301" t="s">
        <v>74</v>
      </c>
      <c r="H4" s="301" t="s">
        <v>54</v>
      </c>
      <c r="I4" s="301" t="s">
        <v>222</v>
      </c>
      <c r="J4" s="301" t="s">
        <v>74</v>
      </c>
      <c r="K4" s="301" t="s">
        <v>54</v>
      </c>
      <c r="L4" s="301" t="s">
        <v>222</v>
      </c>
      <c r="M4" s="2075"/>
      <c r="N4" s="2075"/>
      <c r="O4" s="2075"/>
      <c r="P4" s="2074"/>
    </row>
    <row r="5" spans="1:18" ht="56.25" x14ac:dyDescent="0.3">
      <c r="A5" s="2068" t="s">
        <v>234</v>
      </c>
      <c r="B5" s="2070" t="s">
        <v>59</v>
      </c>
      <c r="C5" s="2070" t="s">
        <v>413</v>
      </c>
      <c r="D5" s="302" t="s">
        <v>219</v>
      </c>
      <c r="E5" s="303" t="s">
        <v>652</v>
      </c>
      <c r="F5" s="304">
        <v>271888000</v>
      </c>
      <c r="G5" s="1585">
        <v>234181680</v>
      </c>
      <c r="H5" s="304">
        <v>234181680</v>
      </c>
      <c r="I5" s="304">
        <v>0</v>
      </c>
      <c r="J5" s="1585">
        <v>37706320</v>
      </c>
      <c r="K5" s="1585">
        <v>30481599</v>
      </c>
      <c r="L5" s="1584">
        <v>7224721</v>
      </c>
      <c r="M5" s="304">
        <v>7224721</v>
      </c>
      <c r="N5" s="304">
        <v>0</v>
      </c>
      <c r="O5" s="305">
        <v>0</v>
      </c>
      <c r="P5" s="306"/>
      <c r="Q5" s="18"/>
      <c r="R5" s="307"/>
    </row>
    <row r="6" spans="1:18" ht="60" customHeight="1" x14ac:dyDescent="0.3">
      <c r="A6" s="2068"/>
      <c r="B6" s="2070"/>
      <c r="C6" s="2070"/>
      <c r="D6" s="302" t="s">
        <v>216</v>
      </c>
      <c r="E6" s="308"/>
      <c r="F6" s="309"/>
      <c r="G6" s="309"/>
      <c r="H6" s="309"/>
      <c r="I6" s="309"/>
      <c r="J6" s="309"/>
      <c r="K6" s="309"/>
      <c r="L6" s="309"/>
      <c r="M6" s="309"/>
      <c r="N6" s="309"/>
      <c r="O6" s="310"/>
      <c r="P6" s="311"/>
      <c r="Q6" s="18"/>
      <c r="R6" s="307"/>
    </row>
    <row r="7" spans="1:18" ht="22.5" x14ac:dyDescent="0.3">
      <c r="A7" s="2069"/>
      <c r="B7" s="2071"/>
      <c r="C7" s="2071"/>
      <c r="D7" s="312" t="s">
        <v>636</v>
      </c>
      <c r="E7" s="313"/>
      <c r="F7" s="314"/>
      <c r="G7" s="314"/>
      <c r="H7" s="314"/>
      <c r="I7" s="314"/>
      <c r="J7" s="314"/>
      <c r="K7" s="314"/>
      <c r="L7" s="314"/>
      <c r="M7" s="314"/>
      <c r="N7" s="314"/>
      <c r="O7" s="315"/>
      <c r="P7" s="316"/>
      <c r="Q7" s="18"/>
      <c r="R7" s="307"/>
    </row>
  </sheetData>
  <mergeCells count="16">
    <mergeCell ref="A5:A7"/>
    <mergeCell ref="B5:B7"/>
    <mergeCell ref="C5:C7"/>
    <mergeCell ref="G2:O2"/>
    <mergeCell ref="P2:P4"/>
    <mergeCell ref="G3:I3"/>
    <mergeCell ref="J3:L3"/>
    <mergeCell ref="M3:M4"/>
    <mergeCell ref="N3:N4"/>
    <mergeCell ref="O3:O4"/>
    <mergeCell ref="A2:A4"/>
    <mergeCell ref="B2:B4"/>
    <mergeCell ref="C2:C4"/>
    <mergeCell ref="D2:D4"/>
    <mergeCell ref="E2:E4"/>
    <mergeCell ref="F2:F4"/>
  </mergeCells>
  <phoneticPr fontId="53" type="noConversion"/>
  <pageMargins left="0.69972223043441772" right="0.69972223043441772" top="0.75" bottom="0.75" header="0.30000001192092896" footer="0.30000001192092896"/>
  <pageSetup paperSize="9" scale="77" fitToHeight="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FFFF00"/>
    <pageSetUpPr fitToPage="1"/>
  </sheetPr>
  <dimension ref="A1:R12"/>
  <sheetViews>
    <sheetView view="pageBreakPreview" zoomScaleNormal="100" zoomScaleSheetLayoutView="100" workbookViewId="0">
      <selection activeCell="S17" sqref="S17"/>
    </sheetView>
  </sheetViews>
  <sheetFormatPr defaultColWidth="9" defaultRowHeight="16.5" x14ac:dyDescent="0.3"/>
  <cols>
    <col min="1" max="1" width="19.5" style="2" customWidth="1"/>
    <col min="2" max="2" width="10.625" style="2" customWidth="1"/>
    <col min="3" max="3" width="15" style="2" bestFit="1" customWidth="1"/>
    <col min="4" max="4" width="10.625" style="2" customWidth="1"/>
    <col min="5" max="5" width="11.625" style="2" customWidth="1"/>
    <col min="6" max="6" width="10.625" style="2" customWidth="1"/>
    <col min="7" max="7" width="14.125" style="2" bestFit="1" customWidth="1"/>
    <col min="8" max="8" width="10.625" style="2" customWidth="1"/>
    <col min="9" max="9" width="11.625" style="2" customWidth="1"/>
    <col min="10" max="10" width="9.5" style="2" customWidth="1"/>
  </cols>
  <sheetData>
    <row r="1" spans="1:18" x14ac:dyDescent="0.3">
      <c r="A1" s="317" t="s">
        <v>406</v>
      </c>
      <c r="B1" s="317"/>
      <c r="C1" s="317"/>
      <c r="D1" s="8"/>
      <c r="E1" s="8"/>
      <c r="F1" s="8"/>
      <c r="G1" s="8"/>
      <c r="H1" s="8"/>
      <c r="I1" s="8"/>
      <c r="J1" s="8"/>
    </row>
    <row r="2" spans="1:18" x14ac:dyDescent="0.3">
      <c r="A2" s="2078" t="s">
        <v>639</v>
      </c>
      <c r="B2" s="2078"/>
      <c r="C2" s="2078"/>
      <c r="D2" s="2078"/>
      <c r="E2" s="2078"/>
      <c r="F2" s="2078"/>
      <c r="G2" s="2078"/>
      <c r="H2" s="2078"/>
      <c r="I2" s="2078"/>
      <c r="J2" s="2078"/>
    </row>
    <row r="3" spans="1:18" ht="30" customHeight="1" x14ac:dyDescent="0.3">
      <c r="A3" s="2079" t="s">
        <v>285</v>
      </c>
      <c r="B3" s="2081" t="s">
        <v>208</v>
      </c>
      <c r="C3" s="2081"/>
      <c r="D3" s="2081" t="s">
        <v>491</v>
      </c>
      <c r="E3" s="2081"/>
      <c r="F3" s="2081" t="s">
        <v>260</v>
      </c>
      <c r="G3" s="2081"/>
      <c r="H3" s="2081" t="s">
        <v>164</v>
      </c>
      <c r="I3" s="2081"/>
      <c r="J3" s="997" t="s">
        <v>648</v>
      </c>
    </row>
    <row r="4" spans="1:18" ht="30" customHeight="1" x14ac:dyDescent="0.3">
      <c r="A4" s="2080"/>
      <c r="B4" s="998" t="s">
        <v>84</v>
      </c>
      <c r="C4" s="998" t="s">
        <v>111</v>
      </c>
      <c r="D4" s="999" t="s">
        <v>84</v>
      </c>
      <c r="E4" s="999" t="s">
        <v>111</v>
      </c>
      <c r="F4" s="999" t="s">
        <v>84</v>
      </c>
      <c r="G4" s="999" t="s">
        <v>111</v>
      </c>
      <c r="H4" s="1000" t="s">
        <v>84</v>
      </c>
      <c r="I4" s="1000" t="s">
        <v>111</v>
      </c>
      <c r="J4" s="1001"/>
    </row>
    <row r="5" spans="1:18" ht="40.35" customHeight="1" x14ac:dyDescent="0.3">
      <c r="A5" s="1002" t="s">
        <v>52</v>
      </c>
      <c r="B5" s="1003">
        <f>SUM(B6:B12)</f>
        <v>55</v>
      </c>
      <c r="C5" s="1004" t="e">
        <f t="shared" ref="C5:J5" si="0">SUM(C6:C12)</f>
        <v>#REF!</v>
      </c>
      <c r="D5" s="1003">
        <f t="shared" si="0"/>
        <v>11</v>
      </c>
      <c r="E5" s="1004" t="e">
        <f t="shared" si="0"/>
        <v>#REF!</v>
      </c>
      <c r="F5" s="1003">
        <f t="shared" si="0"/>
        <v>36</v>
      </c>
      <c r="G5" s="1004" t="e">
        <f t="shared" si="0"/>
        <v>#REF!</v>
      </c>
      <c r="H5" s="1003">
        <f t="shared" si="0"/>
        <v>8</v>
      </c>
      <c r="I5" s="1004" t="e">
        <f t="shared" si="0"/>
        <v>#REF!</v>
      </c>
      <c r="J5" s="1019">
        <f t="shared" si="0"/>
        <v>0</v>
      </c>
      <c r="R5" s="457"/>
    </row>
    <row r="6" spans="1:18" s="597" customFormat="1" ht="40.35" customHeight="1" x14ac:dyDescent="0.3">
      <c r="A6" s="1005" t="s">
        <v>234</v>
      </c>
      <c r="B6" s="1006">
        <f>D6+F6+H6</f>
        <v>3</v>
      </c>
      <c r="C6" s="1007" t="e">
        <f>E6+G6+I6</f>
        <v>#REF!</v>
      </c>
      <c r="D6" s="1008">
        <v>2</v>
      </c>
      <c r="E6" s="1009" t="e">
        <f>SUM('별첨7-4.예산이월설명서(완료)'!#REF!)</f>
        <v>#REF!</v>
      </c>
      <c r="F6" s="1010">
        <v>1</v>
      </c>
      <c r="G6" s="1007" t="e">
        <f>'별첨7-4.예산이월설명서(완료)'!#REF!</f>
        <v>#REF!</v>
      </c>
      <c r="H6" s="1008"/>
      <c r="I6" s="1009"/>
      <c r="J6" s="1011"/>
      <c r="R6" s="598"/>
    </row>
    <row r="7" spans="1:18" s="597" customFormat="1" ht="32.25" customHeight="1" x14ac:dyDescent="0.3">
      <c r="A7" s="1005" t="s">
        <v>565</v>
      </c>
      <c r="B7" s="1006">
        <f t="shared" ref="B7:B12" si="1">D7+F7+H7</f>
        <v>13</v>
      </c>
      <c r="C7" s="1007" t="e">
        <f t="shared" ref="C7:C12" si="2">E7+G7+I7</f>
        <v>#REF!</v>
      </c>
      <c r="D7" s="1008"/>
      <c r="E7" s="1009"/>
      <c r="F7" s="1010">
        <v>10</v>
      </c>
      <c r="G7" s="1007" t="e">
        <f>SUM('별첨7-4.예산이월설명서(완료)'!#REF!)</f>
        <v>#REF!</v>
      </c>
      <c r="H7" s="1008">
        <v>3</v>
      </c>
      <c r="I7" s="1009" t="e">
        <f>SUM('별첨7-4.예산이월설명서(완료)'!#REF!)</f>
        <v>#REF!</v>
      </c>
      <c r="J7" s="1011"/>
    </row>
    <row r="8" spans="1:18" s="597" customFormat="1" ht="32.25" customHeight="1" x14ac:dyDescent="0.3">
      <c r="A8" s="1005" t="s">
        <v>558</v>
      </c>
      <c r="B8" s="1006">
        <f t="shared" si="1"/>
        <v>14</v>
      </c>
      <c r="C8" s="1007" t="e">
        <f t="shared" si="2"/>
        <v>#REF!</v>
      </c>
      <c r="D8" s="1008">
        <v>8</v>
      </c>
      <c r="E8" s="1009" t="e">
        <f>SUM('별첨7-4.예산이월설명서(완료)'!#REF!)</f>
        <v>#REF!</v>
      </c>
      <c r="F8" s="1010">
        <v>3</v>
      </c>
      <c r="G8" s="1007" t="e">
        <f>SUM('별첨7-4.예산이월설명서(완료)'!#REF!)</f>
        <v>#REF!</v>
      </c>
      <c r="H8" s="1008">
        <v>3</v>
      </c>
      <c r="I8" s="1009" t="e">
        <f>SUM('별첨7-4.예산이월설명서(완료)'!#REF!)</f>
        <v>#REF!</v>
      </c>
      <c r="J8" s="1011"/>
    </row>
    <row r="9" spans="1:18" s="597" customFormat="1" ht="32.25" customHeight="1" x14ac:dyDescent="0.3">
      <c r="A9" s="1754" t="s">
        <v>568</v>
      </c>
      <c r="B9" s="1755">
        <f t="shared" si="1"/>
        <v>4</v>
      </c>
      <c r="C9" s="1756">
        <f t="shared" si="2"/>
        <v>3018721000</v>
      </c>
      <c r="D9" s="1757"/>
      <c r="E9" s="1758"/>
      <c r="F9" s="1759">
        <v>3</v>
      </c>
      <c r="G9" s="1756">
        <f>SUM('별첨7-4.예산이월설명서(완료)'!G5:G14)</f>
        <v>75681000</v>
      </c>
      <c r="H9" s="1757">
        <v>1</v>
      </c>
      <c r="I9" s="1758">
        <f>SUM('별첨7-4.예산이월설명서(완료)'!G15:G15)</f>
        <v>2943040000</v>
      </c>
      <c r="J9" s="1760"/>
    </row>
    <row r="10" spans="1:18" s="597" customFormat="1" ht="32.25" customHeight="1" x14ac:dyDescent="0.3">
      <c r="A10" s="1005" t="s">
        <v>566</v>
      </c>
      <c r="B10" s="1006">
        <f t="shared" si="1"/>
        <v>14</v>
      </c>
      <c r="C10" s="1007" t="e">
        <f t="shared" si="2"/>
        <v>#REF!</v>
      </c>
      <c r="D10" s="1008"/>
      <c r="E10" s="1009"/>
      <c r="F10" s="1010">
        <v>13</v>
      </c>
      <c r="G10" s="1007" t="e">
        <f>SUM('별첨7-4.예산이월설명서(완료)'!#REF!)</f>
        <v>#REF!</v>
      </c>
      <c r="H10" s="1008">
        <v>1</v>
      </c>
      <c r="I10" s="1009" t="e">
        <f>'별첨7-4.예산이월설명서(완료)'!#REF!</f>
        <v>#REF!</v>
      </c>
      <c r="J10" s="1011"/>
    </row>
    <row r="11" spans="1:18" s="597" customFormat="1" ht="32.25" customHeight="1" x14ac:dyDescent="0.3">
      <c r="A11" s="1005" t="s">
        <v>564</v>
      </c>
      <c r="B11" s="1006">
        <f t="shared" si="1"/>
        <v>5</v>
      </c>
      <c r="C11" s="1007" t="e">
        <f t="shared" si="2"/>
        <v>#REF!</v>
      </c>
      <c r="D11" s="1008"/>
      <c r="E11" s="1009"/>
      <c r="F11" s="1010">
        <v>5</v>
      </c>
      <c r="G11" s="1007" t="e">
        <f>SUM('별첨7-4.예산이월설명서(완료)'!#REF!)</f>
        <v>#REF!</v>
      </c>
      <c r="H11" s="1008"/>
      <c r="I11" s="1009"/>
      <c r="J11" s="1011"/>
    </row>
    <row r="12" spans="1:18" s="597" customFormat="1" ht="32.25" customHeight="1" x14ac:dyDescent="0.3">
      <c r="A12" s="1012" t="s">
        <v>569</v>
      </c>
      <c r="B12" s="1013">
        <f t="shared" si="1"/>
        <v>2</v>
      </c>
      <c r="C12" s="1014" t="e">
        <f t="shared" si="2"/>
        <v>#REF!</v>
      </c>
      <c r="D12" s="1015">
        <v>1</v>
      </c>
      <c r="E12" s="1016" t="e">
        <f>SUM('별첨7-4.예산이월설명서(완료)'!#REF!)</f>
        <v>#REF!</v>
      </c>
      <c r="F12" s="1015">
        <v>1</v>
      </c>
      <c r="G12" s="1014" t="e">
        <f>SUM('별첨7-4.예산이월설명서(완료)'!#REF!)</f>
        <v>#REF!</v>
      </c>
      <c r="H12" s="1017"/>
      <c r="I12" s="1016"/>
      <c r="J12" s="1018"/>
    </row>
  </sheetData>
  <mergeCells count="6">
    <mergeCell ref="A2:J2"/>
    <mergeCell ref="A3:A4"/>
    <mergeCell ref="B3:C3"/>
    <mergeCell ref="D3:E3"/>
    <mergeCell ref="F3:G3"/>
    <mergeCell ref="H3:I3"/>
  </mergeCells>
  <phoneticPr fontId="53" type="noConversion"/>
  <pageMargins left="0.69972223043441772" right="0.69972223043441772" top="0.75" bottom="0.75" header="0.30000001192092896" footer="0.30000001192092896"/>
  <pageSetup paperSize="9" scale="90" fitToHeight="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rgb="FFFF0000"/>
    <pageSetUpPr fitToPage="1"/>
  </sheetPr>
  <dimension ref="A1:J16"/>
  <sheetViews>
    <sheetView view="pageBreakPreview" zoomScaleNormal="100" zoomScaleSheetLayoutView="100" workbookViewId="0">
      <selection activeCell="D24" sqref="D24"/>
    </sheetView>
  </sheetViews>
  <sheetFormatPr defaultColWidth="9" defaultRowHeight="16.5" x14ac:dyDescent="0.3"/>
  <cols>
    <col min="1" max="4" width="25.25" style="2" customWidth="1"/>
    <col min="5" max="6" width="15" style="2" customWidth="1"/>
    <col min="7" max="7" width="19" style="2" customWidth="1"/>
    <col min="8" max="8" width="14.25" style="2" customWidth="1"/>
  </cols>
  <sheetData>
    <row r="1" spans="1:10" x14ac:dyDescent="0.3">
      <c r="A1" s="317" t="s">
        <v>407</v>
      </c>
      <c r="B1" s="7"/>
      <c r="C1" s="318"/>
      <c r="D1" s="318"/>
      <c r="E1" s="319"/>
      <c r="F1" s="318"/>
      <c r="G1" s="320"/>
      <c r="H1" s="321"/>
    </row>
    <row r="2" spans="1:10" x14ac:dyDescent="0.3">
      <c r="A2" s="7"/>
      <c r="B2" s="9"/>
      <c r="C2" s="322"/>
      <c r="D2" s="322"/>
      <c r="E2" s="323"/>
      <c r="F2" s="322"/>
      <c r="G2" s="324" t="s">
        <v>639</v>
      </c>
      <c r="H2" s="321"/>
    </row>
    <row r="3" spans="1:10" ht="27.95" customHeight="1" x14ac:dyDescent="0.3">
      <c r="A3" s="298" t="s">
        <v>114</v>
      </c>
      <c r="B3" s="299" t="s">
        <v>136</v>
      </c>
      <c r="C3" s="299" t="s">
        <v>56</v>
      </c>
      <c r="D3" s="299" t="s">
        <v>276</v>
      </c>
      <c r="E3" s="325" t="s">
        <v>74</v>
      </c>
      <c r="F3" s="299" t="s">
        <v>238</v>
      </c>
      <c r="G3" s="326" t="s">
        <v>720</v>
      </c>
      <c r="H3" s="300" t="s">
        <v>81</v>
      </c>
    </row>
    <row r="4" spans="1:10" ht="23.25" customHeight="1" x14ac:dyDescent="0.3">
      <c r="A4" s="327"/>
      <c r="B4" s="328"/>
      <c r="C4" s="328" t="str">
        <f>"계 : "&amp;COUNTA(C5:C15)</f>
        <v>계 : 4</v>
      </c>
      <c r="D4" s="329"/>
      <c r="E4" s="330">
        <f>SUM(E5:E15)</f>
        <v>3150000000</v>
      </c>
      <c r="F4" s="329"/>
      <c r="G4" s="331">
        <f>SUM(G5:G15)</f>
        <v>3018721000</v>
      </c>
      <c r="H4" s="332"/>
    </row>
    <row r="5" spans="1:10" s="3" customFormat="1" ht="27.95" customHeight="1" x14ac:dyDescent="0.3">
      <c r="A5" s="2106" t="s">
        <v>279</v>
      </c>
      <c r="B5" s="2107" t="s">
        <v>719</v>
      </c>
      <c r="C5" s="2107" t="s">
        <v>409</v>
      </c>
      <c r="D5" s="2108" t="s">
        <v>16</v>
      </c>
      <c r="E5" s="2110">
        <v>56960000</v>
      </c>
      <c r="F5" s="1761" t="s">
        <v>651</v>
      </c>
      <c r="G5" s="1762">
        <v>33600000</v>
      </c>
      <c r="H5" s="2105" t="s">
        <v>663</v>
      </c>
      <c r="I5" s="535"/>
      <c r="J5" s="536"/>
    </row>
    <row r="6" spans="1:10" ht="27.95" customHeight="1" x14ac:dyDescent="0.3">
      <c r="A6" s="2106"/>
      <c r="B6" s="2107"/>
      <c r="C6" s="2107"/>
      <c r="D6" s="2109"/>
      <c r="E6" s="2110"/>
      <c r="F6" s="1761" t="s">
        <v>259</v>
      </c>
      <c r="G6" s="1762">
        <v>3360000</v>
      </c>
      <c r="H6" s="2105"/>
    </row>
    <row r="7" spans="1:10" ht="27.95" customHeight="1" x14ac:dyDescent="0.3">
      <c r="A7" s="2106"/>
      <c r="B7" s="2107"/>
      <c r="C7" s="2107"/>
      <c r="D7" s="2109"/>
      <c r="E7" s="2110"/>
      <c r="F7" s="1761" t="s">
        <v>116</v>
      </c>
      <c r="G7" s="1762">
        <v>5000000</v>
      </c>
      <c r="H7" s="2105"/>
    </row>
    <row r="8" spans="1:10" ht="27.95" customHeight="1" x14ac:dyDescent="0.3">
      <c r="A8" s="2106"/>
      <c r="B8" s="2107"/>
      <c r="C8" s="2107"/>
      <c r="D8" s="2109"/>
      <c r="E8" s="2110"/>
      <c r="F8" s="1761" t="s">
        <v>237</v>
      </c>
      <c r="G8" s="1762">
        <v>5000000</v>
      </c>
      <c r="H8" s="2105"/>
    </row>
    <row r="9" spans="1:10" ht="27.95" customHeight="1" x14ac:dyDescent="0.3">
      <c r="A9" s="2106"/>
      <c r="B9" s="2107"/>
      <c r="C9" s="2107"/>
      <c r="D9" s="2109"/>
      <c r="E9" s="2110"/>
      <c r="F9" s="1761" t="s">
        <v>189</v>
      </c>
      <c r="G9" s="1762">
        <v>10000000</v>
      </c>
      <c r="H9" s="2105"/>
    </row>
    <row r="10" spans="1:10" s="2" customFormat="1" ht="27.95" customHeight="1" x14ac:dyDescent="0.3">
      <c r="A10" s="2082" t="s">
        <v>525</v>
      </c>
      <c r="B10" s="2085" t="s">
        <v>719</v>
      </c>
      <c r="C10" s="2085" t="s">
        <v>375</v>
      </c>
      <c r="D10" s="2088" t="s">
        <v>15</v>
      </c>
      <c r="E10" s="2094">
        <v>100000000</v>
      </c>
      <c r="F10" s="1849" t="s">
        <v>556</v>
      </c>
      <c r="G10" s="1850">
        <v>9923000</v>
      </c>
      <c r="H10" s="2091" t="s">
        <v>663</v>
      </c>
    </row>
    <row r="11" spans="1:10" s="2" customFormat="1" ht="27.95" customHeight="1" x14ac:dyDescent="0.3">
      <c r="A11" s="2083"/>
      <c r="B11" s="2086"/>
      <c r="C11" s="2086"/>
      <c r="D11" s="2089"/>
      <c r="E11" s="2095"/>
      <c r="F11" s="1761" t="s">
        <v>230</v>
      </c>
      <c r="G11" s="1851">
        <v>7250000</v>
      </c>
      <c r="H11" s="2092"/>
    </row>
    <row r="12" spans="1:10" s="2" customFormat="1" ht="27.95" customHeight="1" x14ac:dyDescent="0.3">
      <c r="A12" s="2084"/>
      <c r="B12" s="2087"/>
      <c r="C12" s="2087"/>
      <c r="D12" s="2090"/>
      <c r="E12" s="2096"/>
      <c r="F12" s="1852" t="s">
        <v>237</v>
      </c>
      <c r="G12" s="1853">
        <v>93000</v>
      </c>
      <c r="H12" s="2093"/>
    </row>
    <row r="13" spans="1:10" s="2" customFormat="1" ht="27.95" customHeight="1" x14ac:dyDescent="0.3">
      <c r="A13" s="2097" t="s">
        <v>525</v>
      </c>
      <c r="B13" s="2099" t="s">
        <v>719</v>
      </c>
      <c r="C13" s="2099" t="s">
        <v>34</v>
      </c>
      <c r="D13" s="2101" t="s">
        <v>8</v>
      </c>
      <c r="E13" s="2095">
        <v>50000000</v>
      </c>
      <c r="F13" s="1854" t="s">
        <v>230</v>
      </c>
      <c r="G13" s="1855">
        <v>515000</v>
      </c>
      <c r="H13" s="2092" t="s">
        <v>663</v>
      </c>
    </row>
    <row r="14" spans="1:10" s="2" customFormat="1" ht="27.95" customHeight="1" x14ac:dyDescent="0.3">
      <c r="A14" s="2098"/>
      <c r="B14" s="2100"/>
      <c r="C14" s="2100"/>
      <c r="D14" s="2102"/>
      <c r="E14" s="2104"/>
      <c r="F14" s="1856" t="s">
        <v>116</v>
      </c>
      <c r="G14" s="1857">
        <v>940000</v>
      </c>
      <c r="H14" s="2103"/>
    </row>
    <row r="15" spans="1:10" ht="40.5" customHeight="1" x14ac:dyDescent="0.3">
      <c r="A15" s="1763" t="s">
        <v>279</v>
      </c>
      <c r="B15" s="1764" t="s">
        <v>731</v>
      </c>
      <c r="C15" s="1764" t="s">
        <v>409</v>
      </c>
      <c r="D15" s="1765" t="s">
        <v>19</v>
      </c>
      <c r="E15" s="1766">
        <v>2943040000</v>
      </c>
      <c r="F15" s="1761" t="s">
        <v>103</v>
      </c>
      <c r="G15" s="1762">
        <v>2943040000</v>
      </c>
      <c r="H15" s="1767" t="s">
        <v>663</v>
      </c>
    </row>
    <row r="16" spans="1:10" s="1" customFormat="1" ht="27.95" customHeight="1" x14ac:dyDescent="0.3">
      <c r="A16" s="1748"/>
      <c r="B16" s="1748"/>
      <c r="C16" s="1748"/>
      <c r="D16" s="1749"/>
      <c r="E16" s="1750"/>
      <c r="F16" s="1751"/>
      <c r="G16" s="1752"/>
      <c r="H16" s="1753"/>
    </row>
  </sheetData>
  <mergeCells count="18">
    <mergeCell ref="H5:H9"/>
    <mergeCell ref="A5:A9"/>
    <mergeCell ref="B5:B9"/>
    <mergeCell ref="C5:C9"/>
    <mergeCell ref="D5:D9"/>
    <mergeCell ref="E5:E9"/>
    <mergeCell ref="A13:A14"/>
    <mergeCell ref="B13:B14"/>
    <mergeCell ref="C13:C14"/>
    <mergeCell ref="D13:D14"/>
    <mergeCell ref="H13:H14"/>
    <mergeCell ref="E13:E14"/>
    <mergeCell ref="A10:A12"/>
    <mergeCell ref="B10:B12"/>
    <mergeCell ref="C10:C12"/>
    <mergeCell ref="D10:D12"/>
    <mergeCell ref="H10:H12"/>
    <mergeCell ref="E10:E12"/>
  </mergeCells>
  <phoneticPr fontId="53" type="noConversion"/>
  <pageMargins left="0.7086111307144165" right="0.7086111307144165" top="0.74750000238418579" bottom="0.74750000238418579" header="0.31486111879348755" footer="0.31486111879348755"/>
  <pageSetup paperSize="9" scale="73" fitToHeight="0" orientation="landscape" r:id="rId1"/>
  <rowBreaks count="1" manualBreakCount="1">
    <brk id="9" max="1048575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rgb="FFFF0000"/>
    <pageSetUpPr fitToPage="1"/>
  </sheetPr>
  <dimension ref="A1:N9"/>
  <sheetViews>
    <sheetView view="pageBreakPreview" zoomScale="90" zoomScaleNormal="100" zoomScaleSheetLayoutView="90" workbookViewId="0">
      <selection activeCell="H20" sqref="H20"/>
    </sheetView>
  </sheetViews>
  <sheetFormatPr defaultColWidth="9" defaultRowHeight="13.5" x14ac:dyDescent="0.3"/>
  <cols>
    <col min="1" max="1" width="9" style="3"/>
    <col min="2" max="3" width="9" style="7"/>
    <col min="4" max="4" width="20.625" style="7" customWidth="1"/>
    <col min="5" max="5" width="9" style="335"/>
    <col min="6" max="6" width="9" style="7" bestFit="1" customWidth="1"/>
    <col min="7" max="7" width="12.25" style="335" bestFit="1" customWidth="1"/>
    <col min="8" max="8" width="9" style="336"/>
    <col min="9" max="14" width="9" style="7"/>
    <col min="15" max="16384" width="9" style="3"/>
  </cols>
  <sheetData>
    <row r="1" spans="1:13" x14ac:dyDescent="0.3">
      <c r="A1" s="317" t="s">
        <v>7</v>
      </c>
      <c r="B1" s="317"/>
      <c r="C1" s="317"/>
      <c r="D1" s="318"/>
      <c r="E1" s="317"/>
      <c r="F1" s="318"/>
      <c r="G1" s="333"/>
      <c r="H1" s="7"/>
    </row>
    <row r="2" spans="1:13" ht="16.5" x14ac:dyDescent="0.3">
      <c r="A2" s="334"/>
      <c r="D2" s="335"/>
      <c r="E2" s="7"/>
      <c r="F2" s="335"/>
      <c r="G2" s="336"/>
      <c r="H2" s="7"/>
      <c r="M2" s="337" t="s">
        <v>5</v>
      </c>
    </row>
    <row r="3" spans="1:13" ht="27" customHeight="1" x14ac:dyDescent="0.3">
      <c r="A3" s="338" t="s">
        <v>124</v>
      </c>
      <c r="B3" s="2111" t="s">
        <v>247</v>
      </c>
      <c r="C3" s="339"/>
      <c r="D3" s="2114" t="s">
        <v>91</v>
      </c>
      <c r="E3" s="2114" t="s">
        <v>241</v>
      </c>
      <c r="F3" s="2114"/>
      <c r="G3" s="2116"/>
      <c r="H3" s="2114" t="s">
        <v>232</v>
      </c>
      <c r="I3" s="2114"/>
      <c r="J3" s="2114"/>
      <c r="K3" s="2114"/>
      <c r="L3" s="2114"/>
      <c r="M3" s="2117"/>
    </row>
    <row r="4" spans="1:13" ht="27" customHeight="1" x14ac:dyDescent="0.3">
      <c r="A4" s="340" t="s">
        <v>215</v>
      </c>
      <c r="B4" s="2112"/>
      <c r="C4" s="341" t="s">
        <v>114</v>
      </c>
      <c r="D4" s="2115"/>
      <c r="E4" s="2118" t="s">
        <v>121</v>
      </c>
      <c r="F4" s="2115" t="s">
        <v>107</v>
      </c>
      <c r="G4" s="2119" t="s">
        <v>106</v>
      </c>
      <c r="H4" s="342" t="s">
        <v>105</v>
      </c>
      <c r="I4" s="2115" t="s">
        <v>263</v>
      </c>
      <c r="J4" s="2115"/>
      <c r="K4" s="2115" t="s">
        <v>239</v>
      </c>
      <c r="L4" s="2115"/>
      <c r="M4" s="343" t="s">
        <v>169</v>
      </c>
    </row>
    <row r="5" spans="1:13" ht="27" customHeight="1" x14ac:dyDescent="0.3">
      <c r="A5" s="344" t="s">
        <v>152</v>
      </c>
      <c r="B5" s="2113"/>
      <c r="C5" s="345"/>
      <c r="D5" s="2115"/>
      <c r="E5" s="2113"/>
      <c r="F5" s="2115"/>
      <c r="G5" s="2119"/>
      <c r="H5" s="342" t="s">
        <v>110</v>
      </c>
      <c r="I5" s="342" t="s">
        <v>107</v>
      </c>
      <c r="J5" s="342" t="s">
        <v>65</v>
      </c>
      <c r="K5" s="342" t="s">
        <v>107</v>
      </c>
      <c r="L5" s="342" t="s">
        <v>65</v>
      </c>
      <c r="M5" s="343" t="s">
        <v>177</v>
      </c>
    </row>
    <row r="6" spans="1:13" ht="27" customHeight="1" x14ac:dyDescent="0.3">
      <c r="A6" s="346" t="s">
        <v>52</v>
      </c>
      <c r="B6" s="347"/>
      <c r="C6" s="347"/>
      <c r="D6" s="347"/>
      <c r="E6" s="347"/>
      <c r="F6" s="348">
        <f>SUM(F7:F9)</f>
        <v>6</v>
      </c>
      <c r="G6" s="1021">
        <f>SUM(G7:G9)</f>
        <v>4006000</v>
      </c>
      <c r="H6" s="349"/>
      <c r="I6" s="349"/>
      <c r="J6" s="349"/>
      <c r="K6" s="349"/>
      <c r="L6" s="349"/>
      <c r="M6" s="350"/>
    </row>
    <row r="7" spans="1:13" ht="27" customHeight="1" x14ac:dyDescent="0.3">
      <c r="A7" s="599" t="s">
        <v>186</v>
      </c>
      <c r="B7" s="600" t="s">
        <v>187</v>
      </c>
      <c r="C7" s="600" t="s">
        <v>85</v>
      </c>
      <c r="D7" s="898" t="s">
        <v>92</v>
      </c>
      <c r="E7" s="602" t="s">
        <v>163</v>
      </c>
      <c r="F7" s="601">
        <v>4</v>
      </c>
      <c r="G7" s="1020">
        <v>6000</v>
      </c>
      <c r="H7" s="603"/>
      <c r="I7" s="603"/>
      <c r="J7" s="604"/>
      <c r="K7" s="603"/>
      <c r="L7" s="604"/>
      <c r="M7" s="605"/>
    </row>
    <row r="8" spans="1:13" ht="27" customHeight="1" x14ac:dyDescent="0.3">
      <c r="A8" s="599" t="s">
        <v>186</v>
      </c>
      <c r="B8" s="600" t="s">
        <v>75</v>
      </c>
      <c r="C8" s="600" t="s">
        <v>85</v>
      </c>
      <c r="D8" s="898" t="s">
        <v>524</v>
      </c>
      <c r="E8" s="602" t="s">
        <v>206</v>
      </c>
      <c r="F8" s="601">
        <v>1</v>
      </c>
      <c r="G8" s="1020">
        <v>1000000</v>
      </c>
      <c r="H8" s="603"/>
      <c r="I8" s="603"/>
      <c r="J8" s="604"/>
      <c r="K8" s="603"/>
      <c r="L8" s="604"/>
      <c r="M8" s="605"/>
    </row>
    <row r="9" spans="1:13" ht="27" customHeight="1" x14ac:dyDescent="0.3">
      <c r="A9" s="599" t="s">
        <v>186</v>
      </c>
      <c r="B9" s="600" t="s">
        <v>195</v>
      </c>
      <c r="C9" s="600" t="s">
        <v>85</v>
      </c>
      <c r="D9" s="898" t="s">
        <v>528</v>
      </c>
      <c r="E9" s="602" t="s">
        <v>161</v>
      </c>
      <c r="F9" s="601">
        <v>1</v>
      </c>
      <c r="G9" s="1020">
        <v>3000000</v>
      </c>
      <c r="H9" s="603"/>
      <c r="I9" s="603"/>
      <c r="J9" s="604"/>
      <c r="K9" s="603"/>
      <c r="L9" s="604"/>
      <c r="M9" s="605"/>
    </row>
  </sheetData>
  <mergeCells count="9">
    <mergeCell ref="B3:B5"/>
    <mergeCell ref="D3:D5"/>
    <mergeCell ref="E3:G3"/>
    <mergeCell ref="H3:M3"/>
    <mergeCell ref="E4:E5"/>
    <mergeCell ref="I4:J4"/>
    <mergeCell ref="K4:L4"/>
    <mergeCell ref="F4:F5"/>
    <mergeCell ref="G4:G5"/>
  </mergeCells>
  <phoneticPr fontId="53" type="noConversion"/>
  <pageMargins left="0.69972223043441772" right="0.69972223043441772" top="0.75" bottom="0.75" header="0.30000001192092896" footer="0.30000001192092896"/>
  <pageSetup paperSize="9" scale="9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505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24</vt:i4>
      </vt:variant>
      <vt:variant>
        <vt:lpstr>이름이 지정된 범위</vt:lpstr>
      </vt:variant>
      <vt:variant>
        <vt:i4>34</vt:i4>
      </vt:variant>
    </vt:vector>
  </HeadingPairs>
  <TitlesOfParts>
    <vt:vector size="58" baseType="lpstr">
      <vt:lpstr>표지</vt:lpstr>
      <vt:lpstr>목차</vt:lpstr>
      <vt:lpstr>사업운영계획(표지)</vt:lpstr>
      <vt:lpstr>1.사업운영계획(완료)</vt:lpstr>
      <vt:lpstr>예산총칙(표지)</vt:lpstr>
      <vt:lpstr>2.예산총칙(완료)</vt:lpstr>
      <vt:lpstr>예산총괄표(표지)</vt:lpstr>
      <vt:lpstr>3-1.예산총괄표(완료)</vt:lpstr>
      <vt:lpstr>3-2.사업예산총괄표(완료)</vt:lpstr>
      <vt:lpstr>3-3.자본예산총괄표(완료)</vt:lpstr>
      <vt:lpstr>3-4. 수입예산 성질별 총괄표(완료)</vt:lpstr>
      <vt:lpstr>3-5.지출예산 성질별총괄표(완료)</vt:lpstr>
      <vt:lpstr>수입예산 표지</vt:lpstr>
      <vt:lpstr>수입예산</vt:lpstr>
      <vt:lpstr>지출예산</vt:lpstr>
      <vt:lpstr>지출예산 표지</vt:lpstr>
      <vt:lpstr>자금운영계획(표지)</vt:lpstr>
      <vt:lpstr>6.자금운영계획(완료)</vt:lpstr>
      <vt:lpstr>7.별첨자료(표지)</vt:lpstr>
      <vt:lpstr>별첨7-1. 임직원 인건비(완료)</vt:lpstr>
      <vt:lpstr>별첨7-2.계속비설명서(완료)</vt:lpstr>
      <vt:lpstr>별첨7-3.예산이월총괄표(완료)</vt:lpstr>
      <vt:lpstr>별첨7-4.예산이월설명서(완료)</vt:lpstr>
      <vt:lpstr>별첨7-5.중요자산취득설명서(완료)</vt:lpstr>
      <vt:lpstr>'1.사업운영계획(완료)'!Consolidate_Area</vt:lpstr>
      <vt:lpstr>'3-2.사업예산총괄표(완료)'!Consolidate_Area</vt:lpstr>
      <vt:lpstr>'3-5.지출예산 성질별총괄표(완료)'!Consolidate_Area</vt:lpstr>
      <vt:lpstr>'6.자금운영계획(완료)'!Consolidate_Area</vt:lpstr>
      <vt:lpstr>'별첨7-1. 임직원 인건비(완료)'!Consolidate_Area</vt:lpstr>
      <vt:lpstr>수입예산!Consolidate_Area</vt:lpstr>
      <vt:lpstr>지출예산!Consolidate_Area</vt:lpstr>
      <vt:lpstr>'1.사업운영계획(완료)'!Print_Area</vt:lpstr>
      <vt:lpstr>'2.예산총칙(완료)'!Print_Area</vt:lpstr>
      <vt:lpstr>'3-1.예산총괄표(완료)'!Print_Area</vt:lpstr>
      <vt:lpstr>'3-2.사업예산총괄표(완료)'!Print_Area</vt:lpstr>
      <vt:lpstr>'3-3.자본예산총괄표(완료)'!Print_Area</vt:lpstr>
      <vt:lpstr>'3-4. 수입예산 성질별 총괄표(완료)'!Print_Area</vt:lpstr>
      <vt:lpstr>'3-5.지출예산 성질별총괄표(완료)'!Print_Area</vt:lpstr>
      <vt:lpstr>'6.자금운영계획(완료)'!Print_Area</vt:lpstr>
      <vt:lpstr>'7.별첨자료(표지)'!Print_Area</vt:lpstr>
      <vt:lpstr>목차!Print_Area</vt:lpstr>
      <vt:lpstr>'별첨7-1. 임직원 인건비(완료)'!Print_Area</vt:lpstr>
      <vt:lpstr>'별첨7-2.계속비설명서(완료)'!Print_Area</vt:lpstr>
      <vt:lpstr>'별첨7-3.예산이월총괄표(완료)'!Print_Area</vt:lpstr>
      <vt:lpstr>'별첨7-4.예산이월설명서(완료)'!Print_Area</vt:lpstr>
      <vt:lpstr>'사업운영계획(표지)'!Print_Area</vt:lpstr>
      <vt:lpstr>수입예산!Print_Area</vt:lpstr>
      <vt:lpstr>'수입예산 표지'!Print_Area</vt:lpstr>
      <vt:lpstr>'예산총괄표(표지)'!Print_Area</vt:lpstr>
      <vt:lpstr>'예산총칙(표지)'!Print_Area</vt:lpstr>
      <vt:lpstr>'자금운영계획(표지)'!Print_Area</vt:lpstr>
      <vt:lpstr>지출예산!Print_Area</vt:lpstr>
      <vt:lpstr>'지출예산 표지'!Print_Area</vt:lpstr>
      <vt:lpstr>표지!Print_Area</vt:lpstr>
      <vt:lpstr>'3-4. 수입예산 성질별 총괄표(완료)'!Print_Titles</vt:lpstr>
      <vt:lpstr>'3-5.지출예산 성질별총괄표(완료)'!Print_Titles</vt:lpstr>
      <vt:lpstr>수입예산!Print_Titles</vt:lpstr>
      <vt:lpstr>지출예산!Print_Titles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이경호</dc:creator>
  <cp:lastModifiedBy>user</cp:lastModifiedBy>
  <cp:revision>91</cp:revision>
  <cp:lastPrinted>2025-11-11T06:59:38Z</cp:lastPrinted>
  <dcterms:created xsi:type="dcterms:W3CDTF">2012-11-27T09:01:34Z</dcterms:created>
  <dcterms:modified xsi:type="dcterms:W3CDTF">2026-02-19T00:53:42Z</dcterms:modified>
  <cp:version>1000.0100.01</cp:version>
</cp:coreProperties>
</file>